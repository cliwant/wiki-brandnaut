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tmp/wiki-brandnut-ingest-20260722/published/"/>
    </mc:Choice>
  </mc:AlternateContent>
  <xr:revisionPtr revIDLastSave="0" documentId="13_ncr:1_{02963DC9-B168-3F4D-873E-A7032BE42D13}" xr6:coauthVersionLast="47" xr6:coauthVersionMax="47" xr10:uidLastSave="{00000000-0000-0000-0000-000000000000}"/>
  <bookViews>
    <workbookView xWindow="0" yWindow="500" windowWidth="36000" windowHeight="20440" activeTab="2" xr2:uid="{00000000-000D-0000-FFFF-FFFF00000000}"/>
  </bookViews>
  <sheets>
    <sheet name="요약" sheetId="1" r:id="rId1"/>
    <sheet name="섹터 별 분석" sheetId="2" r:id="rId2"/>
    <sheet name="시장 플레이어" sheetId="3" r:id="rId3"/>
    <sheet name="2026년(7월 기준)" sheetId="4" r:id="rId4"/>
    <sheet name="2025년" sheetId="5" r:id="rId5"/>
    <sheet name="2024년" sheetId="6" r:id="rId6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F10" i="1"/>
  <c r="D10" i="1"/>
  <c r="C10" i="1"/>
  <c r="B10" i="1"/>
  <c r="G9" i="1"/>
  <c r="F9" i="1"/>
  <c r="D9" i="1"/>
  <c r="C9" i="1"/>
  <c r="B9" i="1"/>
  <c r="G8" i="1"/>
  <c r="F8" i="1"/>
  <c r="D8" i="1"/>
  <c r="C8" i="1"/>
  <c r="B8" i="1"/>
  <c r="E10" i="1" l="1"/>
  <c r="E9" i="1"/>
  <c r="E8" i="1"/>
</calcChain>
</file>

<file path=xl/sharedStrings.xml><?xml version="1.0" encoding="utf-8"?>
<sst xmlns="http://schemas.openxmlformats.org/spreadsheetml/2006/main" count="11087" uniqueCount="1827">
  <si>
    <t>브랜드넛 — 공공 입찰 시장 브리핑 (2026-07-22)</t>
  </si>
  <si>
    <t>고객 첫 킥오프 미팅용 · 시장 현황 → 섹터 우선순위 → 파트너 필요성 → 공고 트래킹 기준 순서로 논의</t>
  </si>
  <si>
    <t>3개년 공고</t>
  </si>
  <si>
    <t>진행중</t>
  </si>
  <si>
    <t>시장 플레이어</t>
  </si>
  <si>
    <t>◆ 시장 현황 브리프</t>
  </si>
  <si>
    <t>사업영역</t>
  </si>
  <si>
    <t>2024년</t>
  </si>
  <si>
    <t>2025년</t>
  </si>
  <si>
    <t>2026년(7월 기준)</t>
  </si>
  <si>
    <t>합계</t>
  </si>
  <si>
    <t>예산 합계(공개분)</t>
  </si>
  <si>
    <t>창업교육·캠프</t>
  </si>
  <si>
    <t>창업경진대회·IR 행사</t>
  </si>
  <si>
    <t>창업보육·액셀러레이팅</t>
  </si>
  <si>
    <t>◆ 창업교육·캠프 — 대학·학교·지자체 대상 창업교육, 숙박형·집중형 캠프와 참가자 운영</t>
  </si>
  <si>
    <t>대표 유형</t>
  </si>
  <si>
    <t>공고명</t>
  </si>
  <si>
    <t>발주처</t>
  </si>
  <si>
    <t>예산(원)</t>
  </si>
  <si>
    <t>핵심 과업</t>
  </si>
  <si>
    <t>공고일</t>
  </si>
  <si>
    <t>상태</t>
  </si>
  <si>
    <t>전형</t>
  </si>
  <si>
    <t>2024년 동문동 도시재생 창업 교육프로그램 운영 용역</t>
  </si>
  <si>
    <t>충청남도 서산시</t>
  </si>
  <si>
    <t>프로그램 기획·운영 · 참가자 모집·선발·팀 운영 · 창업교육·특강·워크숍 · 멘토링·컨설팅·코칭</t>
  </si>
  <si>
    <t>마감</t>
  </si>
  <si>
    <t>확장형</t>
  </si>
  <si>
    <t>[긴급]2026. J-스타트업 스쿨(2기) 심화트랙 운영 위탁 용역 재공고</t>
  </si>
  <si>
    <t>전남광주통합특별시교육청 전남청사</t>
  </si>
  <si>
    <t>프로그램 기획·운영 · 창업교육·특강·워크숍 · 멘토링·컨설팅·코칭 · 숙박·이동·안전·현장체험</t>
  </si>
  <si>
    <t>현재 기회</t>
  </si>
  <si>
    <t>[긴급] 실험실 특화형 창업선도대학 2026 연합 실험실창업캠프 운영</t>
  </si>
  <si>
    <t>성균관대학교 자연과학캠퍼스 부총장 산학협력단</t>
  </si>
  <si>
    <t>프로그램 기획·운영 · 창업교육·특강·워크숍 · 멘토링·컨설팅·코칭 · BM·사업계획서·고객검증·MVP</t>
  </si>
  <si>
    <t>◆ 창업경진대회·IR 행사 — 창업경진대회, IR·데모데이, 심사·시상과 행사 운영</t>
  </si>
  <si>
    <t>충남 생성형 AI 활용 기술창업 아이디어 경진대회 운영 대행 용역</t>
  </si>
  <si>
    <t>선문대학교 산학협력단</t>
  </si>
  <si>
    <t>행사 기획·현장 운영 · 참가팀 모집·선발 · 후속 멘토링·사업화 연계</t>
  </si>
  <si>
    <t>2025 융합기술 스타트업 데모데이 용역</t>
  </si>
  <si>
    <t>재단법인 차세대융합기술연구원</t>
  </si>
  <si>
    <t>행사 기획·현장 운영 · IR·피칭·발표자료 · 데모데이·부스·전시 · 홍보·콘텐츠 제작</t>
  </si>
  <si>
    <t>(긴급 재공고)2026 창업 경진대회 운영 용역</t>
  </si>
  <si>
    <t>국립경국대학교</t>
  </si>
  <si>
    <t>행사 기획·현장 운영 · 참가팀 모집·선발 · 심사·평가·시상 · 홍보·콘텐츠 제작</t>
  </si>
  <si>
    <t>◆ 창업보육·액셀러레이팅 — 창업기업 선발, BM 고도화, 투자유치·사업화·글로벌 진출을 묶은 장기 프로그램</t>
  </si>
  <si>
    <t>2026년 창업혁신공간(동부권) 하남시 스타트업 발굴 및 육성 지원사업 운영 용역</t>
  </si>
  <si>
    <t>(재)경기도경제과학진흥원</t>
  </si>
  <si>
    <t>참여기업 모집·선정 · 멘토링·컨설팅·코칭 · IR·투자유치·데모데이 · 시장검증·PoC·오픈이노베이션</t>
  </si>
  <si>
    <t>2026 김해형 액셀러레이팅 프로그램 운영 용역</t>
  </si>
  <si>
    <t>김해의생명산업진흥원</t>
  </si>
  <si>
    <t>참여기업 모집·선정 · 멘토링·컨설팅·코칭 · IR·투자유치·데모데이 · 글로벌 진출·바이어 매칭</t>
  </si>
  <si>
    <t>2026년 국립순천대학교 글로컬 창업사관학교 액셀러레이팅 프로그램 운영</t>
  </si>
  <si>
    <t>국립순천대학교</t>
  </si>
  <si>
    <t>참여기업 모집·선정 · 기업진단·BM 고도화 · IR·투자유치·데모데이</t>
  </si>
  <si>
    <t>◆ 시장 플레이어 1-depth 요약</t>
  </si>
  <si>
    <t>업체</t>
  </si>
  <si>
    <t>관련 사업영역</t>
  </si>
  <si>
    <t>관계 가설</t>
  </si>
  <si>
    <t>관련 공고</t>
  </si>
  <si>
    <t>참여</t>
  </si>
  <si>
    <t>낙찰</t>
  </si>
  <si>
    <t>판단 근거</t>
  </si>
  <si>
    <t>씨엔티테크(주)</t>
  </si>
  <si>
    <t>창업교육·캠프 · 창업경진대회·IR 행사 · 창업보육·액셀러레이팅</t>
  </si>
  <si>
    <t>경쟁사/파트너사 양쪽 가능</t>
  </si>
  <si>
    <t>원문 Contract Result 기준 관련 공고 42건 참여·12회 낙찰</t>
  </si>
  <si>
    <t>와이앤아처 주식회사</t>
  </si>
  <si>
    <t>원문 Contract Result 기준 관련 공고 40건 참여·13회 낙찰</t>
  </si>
  <si>
    <t>유한책임회사 제피러스랩</t>
  </si>
  <si>
    <t>원문 Contract Result 기준 관련 공고 25건 참여·2회 낙찰</t>
  </si>
  <si>
    <t>주식회사 투썬캠퍼스</t>
  </si>
  <si>
    <t>원문 Contract Result 기준 관련 공고 20건 참여·3회 낙찰</t>
  </si>
  <si>
    <t>주식회사 탭엔젤파트너스</t>
  </si>
  <si>
    <t>원문 Contract Result 기준 관련 공고 18건 참여·11회 낙찰</t>
  </si>
  <si>
    <t>출처: 2024-01-01~2026-07-22 TITLE 전페이지 검색, 3차 관찰어 확장, 상위 참여사 3곳 이력 교차검증 후 원문 확인·중복 제거한 관련 공고 478건 중 원문 URL이 없는 방위사업청 1건을 제외한 477건 수록. 원문 637건 중 635건 확보(2건 실패). 브랜드명·계약명 불일치와 계속 발견되는 성장지원 명칭 tail 때문에 절대적 전수를 뜻하지 않음. 하도급 비중은 첨부문서 전수 판정·사람 검수 전까지 미확인으로 표시.</t>
  </si>
  <si>
    <t>섹터 별 분석 — 진입 여부와 우선순위 결정</t>
  </si>
  <si>
    <t>요구조건과 주식회사 브랜드넛 역량의 부합 여부를 확인하고, 미팅에서 직접 진입·파트너 진입·보류를 결정 · 상세 배점표는 타겟 공고 선정 후 검토</t>
  </si>
  <si>
    <t>◆ 창업교육·캠프 — 1순위 검토</t>
  </si>
  <si>
    <t>섹터 설명</t>
  </si>
  <si>
    <t>권고</t>
  </si>
  <si>
    <t>진입 형태</t>
  </si>
  <si>
    <t>적합도</t>
  </si>
  <si>
    <t>핵심 질문</t>
  </si>
  <si>
    <t>중위 예산</t>
  </si>
  <si>
    <t>대학·학교·지자체 대상 창업교육, 숙박형·집중형 캠프와 참가자 운영</t>
  </si>
  <si>
    <t>1순위 검토</t>
  </si>
  <si>
    <t>단독 우선 · 여행·대형운영은 파트너</t>
  </si>
  <si>
    <t>높음</t>
  </si>
  <si>
    <t>고객 제공 수의계약 레퍼런스를 경쟁입찰용 실적증명으로 전환할 수 있는가?</t>
  </si>
  <si>
    <t>1. 입찰 참가자격 — 시장 요구와 현재 보유 상태 확인</t>
  </si>
  <si>
    <t>조건</t>
  </si>
  <si>
    <t>시장 요구</t>
  </si>
  <si>
    <t>고객 현황</t>
  </si>
  <si>
    <t>진입 영향</t>
  </si>
  <si>
    <t>킥오프 질문</t>
  </si>
  <si>
    <t>해석</t>
  </si>
  <si>
    <t>미팅 메모</t>
  </si>
  <si>
    <t>유사실적 요구</t>
  </si>
  <si>
    <t>26건 / 전체 160건 (16.2%) · 미확인 35건</t>
  </si>
  <si>
    <t>수의계약 과업지시서는 보유하나 법인 귀속 실적증명서 미확인</t>
  </si>
  <si>
    <t>증빙이 없으면 실적 제한 공고 직접 진입 곤란</t>
  </si>
  <si>
    <t>신라대·대전대 계약서와 실적증명서를 언제 확보할 수 있는가?</t>
  </si>
  <si>
    <t>‘공고서 참조’는 요구로 추정하지 않고 미확인 처리</t>
  </si>
  <si>
    <t>공동수급 허용</t>
  </si>
  <si>
    <t>17건 / 전체 160건 (10.6%)</t>
  </si>
  <si>
    <t>공동수급 파트너·협약 체계 미정</t>
  </si>
  <si>
    <t>자격·실적을 파트너와 보완할 수 있는 진입 경로</t>
  </si>
  <si>
    <t>공동수급 허용 공고를 별도 추적 기준으로 둘 것인가?</t>
  </si>
  <si>
    <t>-</t>
  </si>
  <si>
    <t>공동수급 불허 중 하도급 허용</t>
  </si>
  <si>
    <t>미확인 · 구조화/수동검수 근거 없음</t>
  </si>
  <si>
    <t>미확인</t>
  </si>
  <si>
    <t>공동수급 불허 공고에서도 일부 과업 파트너 진입 가능성</t>
  </si>
  <si>
    <t>향후 첨부문서 전수 분류·사람 검수 후 하도급 가능 공고를 추적할 것인가?</t>
  </si>
  <si>
    <t>현재 조사셋은 첨부문서 전수 판정·사람 검수 근거가 없어 비율 미표시</t>
  </si>
  <si>
    <t>기업규모 제한</t>
  </si>
  <si>
    <t>93건 / 전체 160건 (58.1%) · 미확인 36건</t>
  </si>
  <si>
    <t>직원 1명·기업 구분 증빙 원본 미확인</t>
  </si>
  <si>
    <t>중소기업·소상공인 전용 공고는 규모상 기회이나 확인서 필요</t>
  </si>
  <si>
    <t>중소기업확인서·소상공인확인서 유효본을 보유하고 있는가?</t>
  </si>
  <si>
    <t>지역제한 여부</t>
  </si>
  <si>
    <t>11건 / 전체 160건 (6.9%)</t>
  </si>
  <si>
    <t>서울 소재</t>
  </si>
  <si>
    <t>지역 본점 제한이 있으면 직접 참여 불가 가능</t>
  </si>
  <si>
    <t>전국 공고만 추적할지 지역 파트너 경로도 열어둘지?</t>
  </si>
  <si>
    <t>지방계약법 단순 언급은 지역제한으로 세지 않음</t>
  </si>
  <si>
    <t>직접생산확인 요구</t>
  </si>
  <si>
    <t>22건 / 전체 160건 (13.8%)</t>
  </si>
  <si>
    <t>직접생산확인증명서 보유 여부 미확인</t>
  </si>
  <si>
    <t>세부품명 인증이 없으면 해당 공고 직접 진입 곤란</t>
  </si>
  <si>
    <t>상위 세부품명 인증을 신청할 수 있는 상태인가?</t>
  </si>
  <si>
    <t>행사대행업·여행업 등록 요구</t>
  </si>
  <si>
    <t>28건 / 전체 160건 (17.5%)</t>
  </si>
  <si>
    <t>나라장터 경쟁입찰참가자격등록증의 업종코드 미확인</t>
  </si>
  <si>
    <t>필수 업종코드 미보유 시 단독 입찰 제한</t>
  </si>
  <si>
    <t>행사대행업·여행업이 필요한 공고는 자체 등록과 파트너 중 어느 경로로 대응할 것인가?</t>
  </si>
  <si>
    <t>2. 직접생산확인증명서 세부품명 — 요구 공고 22건</t>
  </si>
  <si>
    <t>세부품명</t>
  </si>
  <si>
    <t>세부품명번호</t>
  </si>
  <si>
    <t>요구 공고</t>
  </si>
  <si>
    <t>섹터 비중</t>
  </si>
  <si>
    <t>제품 목록 부합</t>
  </si>
  <si>
    <t>실제 증명서 상태</t>
  </si>
  <si>
    <t>논의할 결정</t>
  </si>
  <si>
    <t>기타행사기획및대행서비스</t>
  </si>
  <si>
    <t>8014199001</t>
  </si>
  <si>
    <t>프로그램·행사 운영 과업과 부합</t>
  </si>
  <si>
    <t>브랜드넛 직접생산확인증명서 보유 여부 미확인</t>
  </si>
  <si>
    <t>신청 가능 여부·준비기간·발급 요건 확인</t>
  </si>
  <si>
    <t>전시회기획및대행서비스</t>
  </si>
  <si>
    <t>8014198801</t>
  </si>
  <si>
    <t>기타교육서비스</t>
  </si>
  <si>
    <t>8610169601</t>
  </si>
  <si>
    <t>기타사업지원서비스</t>
  </si>
  <si>
    <t>8016159001</t>
  </si>
  <si>
    <t>3. 주요 과업범위 — 기존 제품·서비스·역량 부합 여부 확인 · 관찰 비중은 원문 확인분 기준</t>
  </si>
  <si>
    <t>과업</t>
  </si>
  <si>
    <t>공고 신호</t>
  </si>
  <si>
    <t>관찰 비중</t>
  </si>
  <si>
    <t>보유 역량</t>
  </si>
  <si>
    <t>확인 질문</t>
  </si>
  <si>
    <t>판정 기준</t>
  </si>
  <si>
    <t>프로그램 기획·운영</t>
  </si>
  <si>
    <t>맞춤 프로그램의 설계와 현장 운영이 반복됨</t>
  </si>
  <si>
    <t>85건 / 109건 (78.0%)</t>
  </si>
  <si>
    <t>기획부터 현장·행정까지 직접 운영</t>
  </si>
  <si>
    <t>표준 운영안을 경쟁입찰 제안서로 재사용할 수 있는가?</t>
  </si>
  <si>
    <t>원문 Summary 사업범위·사업개요에서 /기획|운영/ 관찰; 공고당 1회 계수</t>
  </si>
  <si>
    <t>참가자 모집·선발·팀 운영</t>
  </si>
  <si>
    <t>참가자 모집·선발과 팀 구성이 주요 운영 범위로 나타남</t>
  </si>
  <si>
    <t>24건 / 109건 (22.0%)</t>
  </si>
  <si>
    <t>참가자 모집·관리와 팀 편성 역량을 회사가 제시</t>
  </si>
  <si>
    <t>모집 채널과 선발 기준을 증빙할 수 있는가?</t>
  </si>
  <si>
    <t>원문 Summary 사업범위·사업개요에서 /모집|선발|선정|팀\s*편성|참가자\s*관리/ 관찰; 공고당 1회 계수</t>
  </si>
  <si>
    <t>창업교육·특강·워크숍</t>
  </si>
  <si>
    <t>창업 기초부터 기술·실전 교육까지 교육 세션이 반복됨</t>
  </si>
  <si>
    <t>75건 / 109건 (68.8%)</t>
  </si>
  <si>
    <t>창업 특강·기술창업·AI 활용 교육 자산 보유</t>
  </si>
  <si>
    <t>대표 커리큘럼과 강사진 풀을 표준화할 것인가?</t>
  </si>
  <si>
    <t>원문 Summary 사업범위·사업개요에서 /교육|특강|워크숍|강의/ 관찰; 공고당 1회 계수</t>
  </si>
  <si>
    <t>멘토링·컨설팅·코칭</t>
  </si>
  <si>
    <t>팀별 전문가 피드백과 멘토링이 반복됨</t>
  </si>
  <si>
    <t>49건 / 109건 (45.0%)</t>
  </si>
  <si>
    <t>팀별 멘토링과 전문가 섭외 경험을 제시</t>
  </si>
  <si>
    <t>분야별 멘토 이력·확약서를 즉시 제출할 수 있는가?</t>
  </si>
  <si>
    <t>원문 Summary 사업범위·사업개요에서 /멘토링|컨설팅|코칭/ 관찰; 공고당 1회 계수</t>
  </si>
  <si>
    <t>BM·사업계획서·고객검증·MVP</t>
  </si>
  <si>
    <t>사업모델 구체화와 결과물 제작이 자주 결합됨</t>
  </si>
  <si>
    <t>9건 / 109건 (8.3%)</t>
  </si>
  <si>
    <t>BM·사업계획서·고객검증·MVP 교육 자산 보유</t>
  </si>
  <si>
    <t>수료 결과물을 정량 KPI로 제시할 수 있는가?</t>
  </si>
  <si>
    <t>원문 Summary 사업범위·사업개요에서 /\bBM\b|사업계획서|고객\s*검증|가치제안|\bMVP\b|시제품/ 관찰; 공고당 1회 계수</t>
  </si>
  <si>
    <t>IR·피칭·발표</t>
  </si>
  <si>
    <t>교육 결과를 발표·피칭으로 연결하는 구조가 반복됨</t>
  </si>
  <si>
    <t>14건 / 109건 (12.8%)</t>
  </si>
  <si>
    <t>피치덱 제작과 발표·심사 운영 경험 보유</t>
  </si>
  <si>
    <t>교육과 IR 결과물을 한 패키지로 제안할 것인가?</t>
  </si>
  <si>
    <t>원문 Summary 사업범위·사업개요에서 /\bIR\b|피칭|피치덱|발표|데모데이/ 관찰; 공고당 1회 계수</t>
  </si>
  <si>
    <t>숙박·이동·안전·현장체험</t>
  </si>
  <si>
    <t>집중형 캠프에서 숙박·이동·안전 운영이 요구됨</t>
  </si>
  <si>
    <t>16건 / 109건 (14.7%)</t>
  </si>
  <si>
    <t>고객 제공 과업지시서에서 숙박·이동·안전관리 범위 확인</t>
  </si>
  <si>
    <t>여행업 등록이 필요한 범위와 외부 파트너 범위를 구분할 수 있는가?</t>
  </si>
  <si>
    <t>원문 Summary 사업범위·사업개요에서 /숙박|숙소|버스|이동|안전|보험|현장\s*(?:탐방|체험)|탐방/ 관찰; 공고당 1회 계수</t>
  </si>
  <si>
    <t>성과관리·결과보고</t>
  </si>
  <si>
    <t>만족도·성과관리와 결과보고가 반복 산출물로 나타남</t>
  </si>
  <si>
    <t>21건 / 109건 (19.3%)</t>
  </si>
  <si>
    <t>만족도·운영기록·최종보고·정산 역량을 제시</t>
  </si>
  <si>
    <t>표준 결과보고서와 성과지표를 실적 증빙으로 남길 것인가?</t>
  </si>
  <si>
    <t>원문 Summary 사업범위·사업개요에서 /성과\s*관리|결과\s*보고|만족도|사후\s*관리|사업비\s*정산/ 관찰; 공고당 1회 계수</t>
  </si>
  <si>
    <t>◆ 창업경진대회·IR 행사 — 2순위 검토</t>
  </si>
  <si>
    <t>창업경진대회, IR·데모데이, 심사·시상과 행사 운영</t>
  </si>
  <si>
    <t>2순위 검토</t>
  </si>
  <si>
    <t>단독 또는 행사 자격·운영 파트너</t>
  </si>
  <si>
    <t>높음~중간</t>
  </si>
  <si>
    <t>행사대행업·직접생산 자격과 동시 현장운영 역량을 어떻게 확보할 것인가?</t>
  </si>
  <si>
    <t>15건 / 전체 104건 (14.4%) · 미확인 20건</t>
  </si>
  <si>
    <t>26건 / 전체 104건 (25.0%)</t>
  </si>
  <si>
    <t>64건 / 전체 104건 (61.5%) · 미확인 19건</t>
  </si>
  <si>
    <t>10건 / 전체 104건 (9.6%)</t>
  </si>
  <si>
    <t>48건 / 전체 104건 (46.2%)</t>
  </si>
  <si>
    <t>행사대행업(9901) 등록 요구</t>
  </si>
  <si>
    <t>38건 / 전체 104건 (36.5%)</t>
  </si>
  <si>
    <t>행사대행업 등록과 행사 직접생산확인을 자체 확보할 것인가?</t>
  </si>
  <si>
    <t>2. 직접생산확인증명서 세부품명 — 요구 공고 48건</t>
  </si>
  <si>
    <t>회의기획및대행서비스</t>
  </si>
  <si>
    <t>8014190201</t>
  </si>
  <si>
    <t>국제행사기획및대행서비스</t>
  </si>
  <si>
    <t>8014198901</t>
  </si>
  <si>
    <t>데이터처리서비스</t>
  </si>
  <si>
    <t>8111200201</t>
  </si>
  <si>
    <t>과업 부합 여부 확인</t>
  </si>
  <si>
    <t>빅데이터분석서비스</t>
  </si>
  <si>
    <t>8111200202</t>
  </si>
  <si>
    <t>동영상제작서비스</t>
  </si>
  <si>
    <t>8213160301</t>
  </si>
  <si>
    <t>행사 기획·현장 운영</t>
  </si>
  <si>
    <t>경진대회·데모데이의 기획과 현장 운영이 핵심 범위로 반복됨</t>
  </si>
  <si>
    <t>57건 / 60건 (95.0%)</t>
  </si>
  <si>
    <t>경진대회·네트워킹 현장 운영 경험 보유</t>
  </si>
  <si>
    <t>표준 행사 운영안과 인력 배치표를 보유하고 있는가?</t>
  </si>
  <si>
    <t>원문 Summary 사업범위·사업개요에서 /행사|기획|운영|대관|무대/ 관찰; 공고당 1회 계수</t>
  </si>
  <si>
    <t>참가팀 모집·선발</t>
  </si>
  <si>
    <t>참가팀 모집·접수·선발 운영이 반복됨</t>
  </si>
  <si>
    <t>29건 / 60건 (48.3%)</t>
  </si>
  <si>
    <t>참가자 모집·관리 역량을 회사가 제시</t>
  </si>
  <si>
    <t>목표 모집 수와 채널별 전환율을 증빙할 수 있는가?</t>
  </si>
  <si>
    <t>원문 Summary 사업범위·사업개요에서 /모집|선발|선정|참가팀|참가자/ 관찰; 공고당 1회 계수</t>
  </si>
  <si>
    <t>심사·평가·시상</t>
  </si>
  <si>
    <t>심사위원 구성, 평가표, 시상 운영이 반복됨</t>
  </si>
  <si>
    <t>18건 / 60건 (30.0%)</t>
  </si>
  <si>
    <t>심사위원 섭외·심사표·시상 운영 경험 확인</t>
  </si>
  <si>
    <t>분야별 심사위원 풀과 이해충돌 관리안을 갖췄는가?</t>
  </si>
  <si>
    <t>원문 Summary 사업범위·사업개요에서 /심사|평가위원|평가\s*운영|시상/ 관찰; 공고당 1회 계수</t>
  </si>
  <si>
    <t>IR·피칭·발표자료</t>
  </si>
  <si>
    <t>참가팀의 IR·피칭과 발표자료 고도화가 반복됨</t>
  </si>
  <si>
    <t>4건 / 60건 (6.7%)</t>
  </si>
  <si>
    <t>피치덱 제작·발표 코칭 역량 보유</t>
  </si>
  <si>
    <t>교육형 IR과 투자형 IR을 구분해 제안할 수 있는가?</t>
  </si>
  <si>
    <t>원문 Summary 사업범위·사업개요에서 /\bIR\b|피칭|피치덱|발표\s*자료|사업계획서/ 관찰; 공고당 1회 계수</t>
  </si>
  <si>
    <t>데모데이·부스·전시</t>
  </si>
  <si>
    <t>본선 행사에서 데모데이·부스·성과공유 운영이 나타남</t>
  </si>
  <si>
    <t>12건 / 60건 (20.0%)</t>
  </si>
  <si>
    <t>부스·발표·네트워킹 운영 사례를 회사가 제시</t>
  </si>
  <si>
    <t>중간~높음</t>
  </si>
  <si>
    <t>대형 행사 장비·대관은 자체 수행할지 파트너화할지?</t>
  </si>
  <si>
    <t>원문 Summary 사업범위·사업개요에서 /데모데이|부스|전시|성과\s*공유/ 관찰; 공고당 1회 계수</t>
  </si>
  <si>
    <t>홍보·콘텐츠 제작</t>
  </si>
  <si>
    <t>참가자 모집과 행사 확산을 위한 홍보물이 반복됨</t>
  </si>
  <si>
    <t>35건 / 60건 (58.3%)</t>
  </si>
  <si>
    <t>콘텐츠·홍보물 제작 역량을 회사가 제시</t>
  </si>
  <si>
    <t>디자인·영상 외주 범위와 품질 책임자를 정할 것인가?</t>
  </si>
  <si>
    <t>원문 Summary 사업범위·사업개요에서 /홍보|콘텐츠|홍보물|영상|디자인/ 관찰; 공고당 1회 계수</t>
  </si>
  <si>
    <t>후속 멘토링·사업화 연계</t>
  </si>
  <si>
    <t>수상팀 후속 멘토링과 사업화 연계가 함께 요구되는 경우가 있음</t>
  </si>
  <si>
    <t>26건 / 60건 (43.3%)</t>
  </si>
  <si>
    <t>멘토링 역량은 있으나 장기 사업화 성과 증빙은 미확인</t>
  </si>
  <si>
    <t>중간</t>
  </si>
  <si>
    <t>행사 이후 후속 프로그램까지 수주 범위로 포함할 것인가?</t>
  </si>
  <si>
    <t>원문 Summary 사업범위·사업개요에서 /후속|사후|멘토링|사업화|인큐베이팅/ 관찰; 공고당 1회 계수</t>
  </si>
  <si>
    <t>행사 결과·참가자 성과와 정산 보고가 반복됨</t>
  </si>
  <si>
    <t>10건 / 60건 (16.7%)</t>
  </si>
  <si>
    <t>결과보고·만족도·운영기록 역량 보유</t>
  </si>
  <si>
    <t>행사 KPI를 실적증명과 다음 제안에 연결할 것인가?</t>
  </si>
  <si>
    <t>원문 Summary 사업범위·사업개요에서 /성과\s*관리|결과\s*보고|만족도|정산/ 관찰; 공고당 1회 계수</t>
  </si>
  <si>
    <t>◆ 창업보육·액셀러레이팅 — 선별 · 파트너 우선</t>
  </si>
  <si>
    <t>창업기업 선발, BM 고도화, 투자유치·사업화·글로벌 진출을 묶은 장기 프로그램</t>
  </si>
  <si>
    <t>선별 · 파트너 우선</t>
  </si>
  <si>
    <t>창업기획자·투자역량 파트너 우선</t>
  </si>
  <si>
    <t>창업기획자 등록 또는 투자·보육 파트너와의 진입 경로를 채택할 것인가?</t>
  </si>
  <si>
    <t>33건 / 전체 213건 (15.5%) · 미확인 48건</t>
  </si>
  <si>
    <t>54건 / 전체 213건 (25.4%)</t>
  </si>
  <si>
    <t>129건 / 전체 213건 (60.6%) · 미확인 47건</t>
  </si>
  <si>
    <t>14건 / 전체 213건 (6.6%)</t>
  </si>
  <si>
    <t>23건 / 전체 213건 (10.8%)</t>
  </si>
  <si>
    <t>창업기획자(6883) 등록 요구</t>
  </si>
  <si>
    <t>63건 / 전체 213건 (29.6%)</t>
  </si>
  <si>
    <t>창업기획자 등록을 추진할지, 등록 액셀러레이터와 파트너로 진입할지?</t>
  </si>
  <si>
    <t>2. 직접생산확인증명서 세부품명 — 요구 공고 23건</t>
  </si>
  <si>
    <t>전시부스설치및디자인서비스</t>
  </si>
  <si>
    <t>7215409901</t>
  </si>
  <si>
    <t>전시홍보관설치및디자인서비스</t>
  </si>
  <si>
    <t>7215409902</t>
  </si>
  <si>
    <t>환경에너지연구조사서비스</t>
  </si>
  <si>
    <t>8090902801</t>
  </si>
  <si>
    <t>참여기업 모집·선정</t>
  </si>
  <si>
    <t>지원기업 발굴·모집·선정이 장기 프로그램의 시작점으로 반복됨</t>
  </si>
  <si>
    <t>65건 / 132건 (49.2%)</t>
  </si>
  <si>
    <t>참가자 모집·선발 운영 역량을 회사가 제시</t>
  </si>
  <si>
    <t>기업 모집 채널과 선발위원 풀을 확보했는가?</t>
  </si>
  <si>
    <t>원문 Summary 사업범위·사업개요에서 /모집|선발|선정|발굴/ 관찰; 공고당 1회 계수</t>
  </si>
  <si>
    <t>기업진단·BM 고도화</t>
  </si>
  <si>
    <t>기업별 진단을 거쳐 BM·사업전략을 고도화하는 과업이 반복됨</t>
  </si>
  <si>
    <t>23건 / 132건 (17.4%)</t>
  </si>
  <si>
    <t>BM·고객검증·사업계획 교육 자산 보유</t>
  </si>
  <si>
    <t>기업 단계별 진단도구와 전후 성과를 증빙할 수 있는가?</t>
  </si>
  <si>
    <t>원문 Summary 사업범위·사업개요에서 /기업\s*진단|역량\s*진단|\bBM\b|사업\s*모델|고도화|로드맵/ 관찰; 공고당 1회 계수</t>
  </si>
  <si>
    <t>전담·분야별 멘토링과 컨설팅이 반복됨</t>
  </si>
  <si>
    <t>62건 / 132건 (47.0%)</t>
  </si>
  <si>
    <t>멘토링 운영 경험 보유</t>
  </si>
  <si>
    <t>장기 보육에 필요한 전담 PM과 전문가 풀을 확보했는가?</t>
  </si>
  <si>
    <t>IR·투자유치·데모데이</t>
  </si>
  <si>
    <t>IR 고도화, 투자자 매칭과 데모데이가 반복됨</t>
  </si>
  <si>
    <t>63건 / 132건 (47.7%)</t>
  </si>
  <si>
    <t>IR 교육·행사 역량은 있으나 직접투자·후속투자 실적은 미확인</t>
  </si>
  <si>
    <t>투자기관 파트너와 역할·성과 귀속을 어떻게 나눌 것인가?</t>
  </si>
  <si>
    <t>원문 Summary 사업범위·사업개요에서 /\bIR\b|투자\s*유치|데모데이|피치덱|투자자/ 관찰; 공고당 1회 계수</t>
  </si>
  <si>
    <t>시장검증·PoC·오픈이노베이션</t>
  </si>
  <si>
    <t>시장검증·실증·수요기업 연계 과업이 나타남</t>
  </si>
  <si>
    <t>16건 / 132건 (12.1%)</t>
  </si>
  <si>
    <t>고객검증·MVP 교육 자산은 있으나 기업 PoC 운영 실적은 미확인</t>
  </si>
  <si>
    <t>PoC 수요기업 네트워크를 파트너로 확보할 것인가?</t>
  </si>
  <si>
    <t>원문 Summary 사업범위·사업개요에서 /시장\s*검증|\bPMF\b|\bPoC\b|실증|오픈\s*이노베이션|수요기업/ 관찰; 공고당 1회 계수</t>
  </si>
  <si>
    <t>글로벌 진출·바이어 매칭</t>
  </si>
  <si>
    <t>해외시장 진출, 현지 프로그램과 바이어 매칭이 나타남</t>
  </si>
  <si>
    <t>20건 / 132건 (15.2%)</t>
  </si>
  <si>
    <t>해외 현지 네트워크와 글로벌 운영 실적 미확인</t>
  </si>
  <si>
    <t>낮음</t>
  </si>
  <si>
    <t>글로벌 과업은 제외할지 전문 파트너와만 진입할지?</t>
  </si>
  <si>
    <t>원문 Summary 사업범위·사업개요에서 /글로벌|해외|바이어|현지|수출|진출/ 관찰; 공고당 1회 계수</t>
  </si>
  <si>
    <t>직접투자·후속지원 연계</t>
  </si>
  <si>
    <t>일부 액셀러레이팅은 직접투자 또는 후속투자 연계를 성과로 요구함</t>
  </si>
  <si>
    <t>14건 / 132건 (10.6%)</t>
  </si>
  <si>
    <t>브랜드넛의 직접투자 자격·실적은 위키에서 확인되지 않음</t>
  </si>
  <si>
    <t>투자 의무가 있는 공고를 추적 대상에서 제외할 것인가?</t>
  </si>
  <si>
    <t>원문 Summary 사업범위·사업개요에서 /직접\s*투자|후속\s*투자|투자\s*연계|후속\s*지원/ 관찰; 공고당 1회 계수</t>
  </si>
  <si>
    <t>기업별 성과관리와 최종 결과보고가 반복됨</t>
  </si>
  <si>
    <t>27건 / 132건 (20.5%)</t>
  </si>
  <si>
    <t>성과관리·결과보고 역량을 회사가 제시</t>
  </si>
  <si>
    <t>매출·투자·고용 등 장기 KPI 수집 체계를 운영할 수 있는가?</t>
  </si>
  <si>
    <t>원문 Summary 사업범위·사업개요에서 /성과\s*관리|결과\s*보고|만족도|사후\s*관리|성과\s*지표/ 관찰; 공고당 1회 계수</t>
  </si>
  <si>
    <t>시장 플레이어 — 회사별 1-depth 현황</t>
  </si>
  <si>
    <t>파트너 협업이 필요한 섹터를 선택한 경우에만 미팅에서 사용 · 첫 화면은 회사 단위 요약, 왼쪽 +를 열면 근거 공고 확인</t>
  </si>
  <si>
    <t>투찰</t>
  </si>
  <si>
    <t>원문 Contract Result 기준 관련 공고 42건 참여·12회 낙찰
주요 발주처: 한국예탁결제원 6건 · 사단법인 한국여성벤처협회 4건 · (재)경남창조경제혁신센터 3건</t>
  </si>
  <si>
    <t>결과</t>
  </si>
  <si>
    <t>계약방법</t>
  </si>
  <si>
    <t>원문</t>
  </si>
  <si>
    <t>2026년 한-아세안 AI 개발 창업 경진대회 액셀러레이팅 프로그램 운영 용역</t>
  </si>
  <si>
    <t>정보통신산업진흥원</t>
  </si>
  <si>
    <t>협상에의한계약-협상에 의한 낙찰자 결정</t>
  </si>
  <si>
    <t>https://www.g2b.go.kr/link/PNPE027_01/single/?bidPbancNo=R26BK01536757&amp;bidPbancOrd=000</t>
  </si>
  <si>
    <t>2026년 디자인-기술협업 전주기 지원 액셀러레이팅 프로그램 운영</t>
  </si>
  <si>
    <t>한국디자인진흥원</t>
  </si>
  <si>
    <t>https://www.g2b.go.kr/link/PNPE027_01/single/?bidPbancNo=R26BK01489660&amp;bidPbancOrd=000</t>
  </si>
  <si>
    <t>2026년 지역상생 중장년 창업 지원사업 운영 용역</t>
  </si>
  <si>
    <t>서울특별시</t>
  </si>
  <si>
    <t>https://www.g2b.go.kr/link/PNPE027_01/single/?bidPbancNo=R26BK01460201&amp;bidPbancOrd=000</t>
  </si>
  <si>
    <t>2026년 민간협력 여성벤처·스타트업「여성특화 액셀러레이팅 프로그램」위탁용역</t>
  </si>
  <si>
    <t>사단법인 한국여성벤처협회</t>
  </si>
  <si>
    <t>협상에의한계약</t>
  </si>
  <si>
    <t>https://www.g2b.go.kr/link/PNPE027_01/single/?bidPbancNo=R26BK01425821&amp;bidPbancOrd=001</t>
  </si>
  <si>
    <t>https://www.g2b.go.kr/link/PNPE027_01/single/?bidPbancNo=R26BK01425528&amp;bidPbancOrd=002</t>
  </si>
  <si>
    <t>https://www.g2b.go.kr/link/PNPE027_01/single/?bidPbancNo=R26BK01425740&amp;bidPbancOrd=001</t>
  </si>
  <si>
    <t>https://www.g2b.go.kr/link/PNPE027_01/single/?bidPbancNo=R26BK01425609&amp;bidPbancOrd=001</t>
  </si>
  <si>
    <t>2026년 지역연계형 청년 창업 지원사업 운영 용역</t>
  </si>
  <si>
    <t>https://www.g2b.go.kr/link/PNPE027_01/single/?bidPbancNo=R26BK01417516&amp;bidPbancOrd=000</t>
  </si>
  <si>
    <t>2026 스케일업 엑셀러레이팅 프로그램 운영</t>
  </si>
  <si>
    <t>재단법인충남콘텐츠진흥원</t>
  </si>
  <si>
    <t>규격가격동시입찰</t>
  </si>
  <si>
    <t>https://www.g2b.go.kr/link/PNPE027_01/single/?bidPbancNo=R26BK01416636&amp;bidPbancOrd=000</t>
  </si>
  <si>
    <t>2026 충남 천안 그린스타트업타운 스케일업 프로그램 운영 용역</t>
  </si>
  <si>
    <t>https://www.g2b.go.kr/link/PNPE027_01/single/?bidPbancNo=R26BK01416565&amp;bidPbancOrd=000</t>
  </si>
  <si>
    <t>2026년 경기 스타트업 아카데미 창업 역량강화 교육운영 용역</t>
  </si>
  <si>
    <t>https://www.g2b.go.kr/link/PNPE027_01/single/?bidPbancNo=R26BK01399677&amp;bidPbancOrd=000</t>
  </si>
  <si>
    <t>K-Camp 강원 6기 액셀러레이팅 프로그램 실시용역</t>
  </si>
  <si>
    <t>한국예탁결제원</t>
  </si>
  <si>
    <t>https://www.g2b.go.kr/link/PNPE027_01/single/?bidPbancNo=R26BK01308919&amp;bidPbancOrd=000</t>
  </si>
  <si>
    <t>K-Camp 대전 7기 액셀러레이팅 프로그램 실시용역</t>
  </si>
  <si>
    <t>https://www.g2b.go.kr/link/PNPE027_01/single/?bidPbancNo=R26BK01309430&amp;bidPbancOrd=000</t>
  </si>
  <si>
    <t>2025 한양대학교 RISE 사업 글로벌 산학협력 선도 「글로벌 액셀러레이팅 프로그램」</t>
  </si>
  <si>
    <t>한양대학교 산학협력단</t>
  </si>
  <si>
    <t>https://www.g2b.go.kr/link/PNPE027_01/single/?bidPbancNo=R25BK01207877&amp;bidPbancOrd=001</t>
  </si>
  <si>
    <t>2025 K-스타트업 그랜드 챌린지 액셀러레이팅 프로그램 운영 용역</t>
  </si>
  <si>
    <t>경기창조경제혁신센터</t>
  </si>
  <si>
    <t>https://www.g2b.go.kr/link/PNPE027_01/single/?bidPbancNo=R25BK00908142&amp;bidPbancOrd=000</t>
  </si>
  <si>
    <t>서울창업허브 푸드테크 액셀러레이팅 프로그램 운영 용역</t>
  </si>
  <si>
    <t>(재)서울경제진흥원</t>
  </si>
  <si>
    <t>https://www.g2b.go.kr/link/PNPE027_01/single/?bidPbancNo=R25BK00881077&amp;bidPbancOrd=000</t>
  </si>
  <si>
    <t>2025 스케일업 액셀러레이팅 프로그램 운영</t>
  </si>
  <si>
    <t>(재)충남정보문화산업진흥원</t>
  </si>
  <si>
    <t>https://www.g2b.go.kr/link/PNPE027_01/single/?bidPbancNo=R25BK00866999&amp;bidPbancOrd=000</t>
  </si>
  <si>
    <t>2025년 디자인-기술협업 전주기 지원사업 액셀러레이팅 프로그램 운영</t>
  </si>
  <si>
    <t>https://www.g2b.go.kr/link/PNPE027_01/single/?bidPbancNo=R25BK00815150&amp;bidPbancOrd=000</t>
  </si>
  <si>
    <t>2025년 경기스타트업 아카데미 글로벌 유니콘 캠퍼스 과정 운영 용역</t>
  </si>
  <si>
    <t>https://www.g2b.go.kr/link/PNPE027_01/single/?bidPbancNo=R25BK00812059&amp;bidPbancOrd=000</t>
  </si>
  <si>
    <t>2025년 대구콘텐츠코리아랩 스타트업 육성 프로그램 운영 용역</t>
  </si>
  <si>
    <t>재단법인 대구디지털혁신진흥원</t>
  </si>
  <si>
    <t>https://www.g2b.go.kr/link/PNPE027_01/single/?bidPbancNo=R25BK00800338&amp;bidPbancOrd=001</t>
  </si>
  <si>
    <t>AI 특화 글로벌 액셀러레이팅 프로그램 위탁운영</t>
  </si>
  <si>
    <t>창업진흥원</t>
  </si>
  <si>
    <t>https://www.g2b.go.kr/link/PNPE027_01/single/?bidPbancNo=R25BK00789491&amp;bidPbancOrd=000</t>
  </si>
  <si>
    <t>2025년 서울 관광스타트업 액셀러레이팅 프로그램 운영</t>
  </si>
  <si>
    <t>재단법인 서울관광재단</t>
  </si>
  <si>
    <t>https://www.g2b.go.kr/link/PNPE027_01/single/?bidPbancNo=R25BK00746601&amp;bidPbancOrd=000</t>
  </si>
  <si>
    <t>[캠퍼스타운사업] 2025 KU 창업 아이디어 경진대회 위탁 용역</t>
  </si>
  <si>
    <t>건국대학교</t>
  </si>
  <si>
    <t>https://www.g2b.go.kr/link/PNPE027_01/single/?bidPbancNo=R25BK00691749&amp;bidPbancOrd=000</t>
  </si>
  <si>
    <t>국토교통 창업기획 프로그램 운영 및 투자유치 지원</t>
  </si>
  <si>
    <t>국토교통과학기술진흥원</t>
  </si>
  <si>
    <t>협상에 의한 낙찰자 결정</t>
  </si>
  <si>
    <t>https://www.g2b.go.kr/link/PNPE027_01/single/?bidPbancNo=R25BK00644874&amp;bidPbancOrd=000</t>
  </si>
  <si>
    <t>2025-2026 스마트건설 스타트업 액셀러레이팅 및 오픈 이노베이션 용역</t>
  </si>
  <si>
    <t>한국건설기술연구원</t>
  </si>
  <si>
    <t>https://www.g2b.go.kr/link/PNPE027_01/single/?bidPbancNo=R25BK00631110&amp;bidPbancOrd=000</t>
  </si>
  <si>
    <t>2025 식품진흥원 창업교육 프로그램 운영 용역</t>
  </si>
  <si>
    <t>한국식품산업클러스터진흥원</t>
  </si>
  <si>
    <t>https://www.g2b.go.kr/link/PNPE027_01/single/?bidPbancNo=R25BK00628001&amp;bidPbancOrd=000</t>
  </si>
  <si>
    <t>2025년 창업ㆍ벤처 녹색융합 클러스터 ESG 오픈이노베이션 운영</t>
  </si>
  <si>
    <t>한국환경산업기술원</t>
  </si>
  <si>
    <t>https://www.g2b.go.kr/link/PNPE027_01/single/?bidPbancNo=R25BK00612412&amp;bidPbancOrd=000</t>
  </si>
  <si>
    <t>「2025 경남 자원연계형 로컬창업 활성화 지원사업 액셀러레이팅(동북권)」 운영용역</t>
  </si>
  <si>
    <t>(재)경남창조경제혁신센터</t>
  </si>
  <si>
    <t>https://www.g2b.go.kr/link/PNPE027_01/single/?bidPbancNo=R25BK00597544&amp;bidPbancOrd=001</t>
  </si>
  <si>
    <t>K-Camp 강원5기 액셀러레이팅 프로그램 실시용역</t>
  </si>
  <si>
    <t>https://www.g2b.go.kr/link/PNPE027_01/single/?bidPbancNo=R25BK00590997&amp;bidPbancOrd=000</t>
  </si>
  <si>
    <t>K-Camp 대전6기 액셀러레이팅 프로그램 실시용역</t>
  </si>
  <si>
    <t>https://www.g2b.go.kr/link/PNPE027_01/single/?bidPbancNo=R25BK00569640&amp;bidPbancOrd=001</t>
  </si>
  <si>
    <t>2024년 서울혁신챌린지 사업화 지원 프로그램 운영 용역</t>
  </si>
  <si>
    <t>협상에 의한 낙찰제</t>
  </si>
  <si>
    <t>https://www.g2b.go.kr/link/PNPE027_01/single/?bidPbancNo=20240531384&amp;bidPbancOrd=000</t>
  </si>
  <si>
    <t>투자진흥지구 국내 투자유치 프로그램 운영</t>
  </si>
  <si>
    <t>재단법인 광주정보.문화산업진흥원</t>
  </si>
  <si>
    <t>https://www.g2b.go.kr/link/PNPE027_01/single/?bidPbancNo=20240529557&amp;bidPbancOrd=000</t>
  </si>
  <si>
    <t>2024년 대구콘텐츠코리아랩 스타트업 육성 프로그램 운영 용역</t>
  </si>
  <si>
    <t>https://www.g2b.go.kr/link/PNPE027_01/single/?bidPbancNo=20240429389&amp;bidPbancOrd=000</t>
  </si>
  <si>
    <t>2024(5차)년도 정밀의료·의료기기 창업지원 프로그램 운영</t>
  </si>
  <si>
    <t>한국교통대학교</t>
  </si>
  <si>
    <t>https://www.g2b.go.kr/link/PNPE027_01/single/?bidPbancNo=20240406360&amp;bidPbancOrd=000</t>
  </si>
  <si>
    <t>2024 만화웹툰 창업 기업 스케일업 프로그램 운영 위탁용역</t>
  </si>
  <si>
    <t>한국콘텐츠진흥원</t>
  </si>
  <si>
    <t>https://www.g2b.go.kr/link/PNPE027_01/single/?bidPbancNo=20240402848&amp;bidPbancOrd=000</t>
  </si>
  <si>
    <t>24년 서울디자인창업센터 디자인창업지원 프로그램 운영</t>
  </si>
  <si>
    <t>재단법인서울디자인재단</t>
  </si>
  <si>
    <t>https://www.g2b.go.kr/link/PNPE027_01/single/?bidPbancNo=20240320111&amp;bidPbancOrd=000</t>
  </si>
  <si>
    <t>2024년 콘텐츠 창업지원 프로그램 운영</t>
  </si>
  <si>
    <t>재단법인 울산정보산업진흥원</t>
  </si>
  <si>
    <t>https://www.g2b.go.kr/link/PNPE027_01/single/?bidPbancNo=20240318272&amp;bidPbancOrd=000</t>
  </si>
  <si>
    <t>https://www.g2b.go.kr/link/PNPE027_01/single/?bidPbancNo=20240239739&amp;bidPbancOrd=000</t>
  </si>
  <si>
    <t>2024년 경남형 스타트업 액셀러레이팅(초격차산업리그)운영</t>
  </si>
  <si>
    <t>https://www.g2b.go.kr/link/PNPE027_01/single/?bidPbancNo=20240211820&amp;bidPbancOrd=002</t>
  </si>
  <si>
    <t>2024년 경남형 스타트업 액셀러레이팅(미래산업리그)운영</t>
  </si>
  <si>
    <t>https://www.g2b.go.kr/link/PNPE027_01/single/?bidPbancNo=20240211798&amp;bidPbancOrd=002</t>
  </si>
  <si>
    <t>K-Camp 대전5기 액셀러레이팅 프로그램 실시용역</t>
  </si>
  <si>
    <t>https://www.g2b.go.kr/link/PNPE027_01/single/?bidPbancNo=20240204144&amp;bidPbancOrd=000</t>
  </si>
  <si>
    <t>K-Camp 강원4기 액셀러레이팅 프로그램 실시용역</t>
  </si>
  <si>
    <t>https://www.g2b.go.kr/link/PNPE027_01/single/?bidPbancNo=20240121252&amp;bidPbancOrd=000</t>
  </si>
  <si>
    <t>원문 Contract Result 기준 관련 공고 40건 참여·13회 낙찰
주요 발주처: (재)경남창조경제혁신센터 6건 · 한국예탁결제원 6건 · (재)경기도경제과학진흥원 3건</t>
  </si>
  <si>
    <t>https://www.g2b.go.kr/link/PNPE027_01/single/?bidPbancNo=R26BK01565106&amp;bidPbancOrd=000</t>
  </si>
  <si>
    <t>2026 지역 고교인재 비즈쿨 프로젝트 혁신창업스쿨 기획 및 운영 용역</t>
  </si>
  <si>
    <t>재단법인 경북테크노파크</t>
  </si>
  <si>
    <t>https://www.g2b.go.kr/link/PNPE027_01/single/?bidPbancNo=R26BK01523319&amp;bidPbancOrd=000</t>
  </si>
  <si>
    <t>2026년 대구콘텐츠코리아랩 스타트업 육성 프로그램 운영 용역</t>
  </si>
  <si>
    <t>https://www.g2b.go.kr/link/PNPE027_01/single/?bidPbancNo=R26BK01474710&amp;bidPbancOrd=000</t>
  </si>
  <si>
    <t>개항 로컬 창업교육 및 컨설팅 운영 용역</t>
  </si>
  <si>
    <t>재단법인인천중구문화재단</t>
  </si>
  <si>
    <t>https://www.g2b.go.kr/link/PNPE027_01/single/?bidPbancNo=R26BK01431412&amp;bidPbancOrd=000</t>
  </si>
  <si>
    <t>「2026 경남형 스타트업 액셀러레이팅 지원사업」운영용역ː신산업 리그</t>
  </si>
  <si>
    <t>https://www.g2b.go.kr/link/PNPE027_01/single/?bidPbancNo=R26BK01345249&amp;bidPbancOrd=000</t>
  </si>
  <si>
    <t>「2026 경남형 스타트업 액셀러레이팅 지원사업」운영용역ːAI&amp;콘텐츠 리그</t>
  </si>
  <si>
    <t>https://www.g2b.go.kr/link/PNPE027_01/single/?bidPbancNo=R26BK01345183&amp;bidPbancOrd=000</t>
  </si>
  <si>
    <t>K-Camp 제주 5기 액셀러레이팅 프로그램 실시용역</t>
  </si>
  <si>
    <t>https://www.g2b.go.kr/link/PNPE027_01/single/?bidPbancNo=R26BK01312116&amp;bidPbancOrd=000</t>
  </si>
  <si>
    <t>K-Camp 대구 7기 액셀러레이팅 프로그램 실시용역</t>
  </si>
  <si>
    <t>https://www.g2b.go.kr/link/PNPE027_01/single/?bidPbancNo=R26BK01311836&amp;bidPbancOrd=000</t>
  </si>
  <si>
    <t>[RISE사업단] [긴급] ASAN+ 스타트업 컨퍼런스 용역</t>
  </si>
  <si>
    <t>호서대학교 산학협력단</t>
  </si>
  <si>
    <t>https://www.g2b.go.kr/link/PNPE027_01/single/?bidPbancNo=R25BK01176684&amp;bidPbancOrd=000</t>
  </si>
  <si>
    <t>2025 CAU 실전창업교육 F.A.S.T. 1(Funding &amp; AI Startup Track 1)</t>
  </si>
  <si>
    <t>중앙대학교 산학협력단</t>
  </si>
  <si>
    <t>https://www.g2b.go.kr/link/PNPE027_01/single/?bidPbancNo=R25BK01157585&amp;bidPbancOrd=000</t>
  </si>
  <si>
    <t>2025년 글로컬 창업사관학교 액셀러레이팅 프로그램 운영</t>
  </si>
  <si>
    <t>https://www.g2b.go.kr/link/PNPE027_01/single/?bidPbancNo=R25BK01013002&amp;bidPbancOrd=000</t>
  </si>
  <si>
    <t>Open Global Road(2025 창업도약패키지 창업기업 글로벌 액셀러레이팅)</t>
  </si>
  <si>
    <t>경북대학교 테크노파크</t>
  </si>
  <si>
    <t>https://www.g2b.go.kr/link/PNPE027_01/single/?bidPbancNo=R25BK00987733&amp;bidPbancOrd=000</t>
  </si>
  <si>
    <t>2025년 G-Star Dreamers 액셀러레이팅 프로그램 운영</t>
  </si>
  <si>
    <t>(재)경북창조경제혁신센터</t>
  </si>
  <si>
    <t>https://www.g2b.go.kr/link/PNPE027_01/single/?bidPbancNo=R25BK00890729&amp;bidPbancOrd=000</t>
  </si>
  <si>
    <t>2025년 한-아세안 AI 개발 창업 경진대회 액셀러레이팅 프로그램 운영 용역</t>
  </si>
  <si>
    <t>https://www.g2b.go.kr/link/PNPE027_01/single/?bidPbancNo=R25BK00887640&amp;bidPbancOrd=000</t>
  </si>
  <si>
    <t>2025년 전남 으뜸기업 글로벌 액셀러레이팅 프로그램 운영 용역</t>
  </si>
  <si>
    <t>재단법인 전남창조경제혁신센터</t>
  </si>
  <si>
    <t>https://www.g2b.go.kr/link/PNPE027_01/single/?bidPbancNo=R25BK00848572&amp;bidPbancOrd=000</t>
  </si>
  <si>
    <t>2025년 경기창업혁신공간(남서부권역) 시군 스타트업 육성 지원사업(오픈그라운드) 운영 용역</t>
  </si>
  <si>
    <t>https://www.g2b.go.kr/link/PNPE027_01/single/?bidPbancNo=R25BK00817312&amp;bidPbancOrd=000</t>
  </si>
  <si>
    <t>「2025 G-콘텐츠 스타트업 액셀러레이팅 지원사업」 운영용역</t>
  </si>
  <si>
    <t>https://www.g2b.go.kr/link/PNPE027_01/single/?bidPbancNo=R25BK00751811&amp;bidPbancOrd=002</t>
  </si>
  <si>
    <t>2025년 경기 스타트업 아카데미 창업가 역량강화 교육운영 용역</t>
  </si>
  <si>
    <t>https://www.g2b.go.kr/link/PNPE027_01/single/?bidPbancNo=R25BK00744612&amp;bidPbancOrd=000</t>
  </si>
  <si>
    <t>광주콘텐츠코리아랩 콘텐츠 스케일업 프로그램 운영</t>
  </si>
  <si>
    <t>https://www.g2b.go.kr/link/PNPE027_01/single/?bidPbancNo=R25BK00739693&amp;bidPbancOrd=000</t>
  </si>
  <si>
    <t>「2025년 K-로컬창업스쿨」 예비창업가 창업교육 운영</t>
  </si>
  <si>
    <t>재단법인 경상북도경제진흥원</t>
  </si>
  <si>
    <t>https://www.g2b.go.kr/link/PNPE027_01/single/?bidPbancNo=R25BK00722919&amp;bidPbancOrd=000</t>
  </si>
  <si>
    <t>2025년 경남형 스타트업 액셀러레이팅」 위탁운영 용역</t>
  </si>
  <si>
    <t>https://www.g2b.go.kr/link/PNPE027_01/single/?bidPbancNo=R25BK00689948&amp;bidPbancOrd=000</t>
  </si>
  <si>
    <t>K-Camp 대구6기 액셀러레이팅 프로그램 실시용역</t>
  </si>
  <si>
    <t>https://www.g2b.go.kr/link/PNPE027_01/single/?bidPbancNo=R25BK00590943&amp;bidPbancOrd=000</t>
  </si>
  <si>
    <t>K-Camp 광주6기 액셀러레이팅 프로그램 실시용역</t>
  </si>
  <si>
    <t>https://www.g2b.go.kr/link/PNPE027_01/single/?bidPbancNo=R25BK00569905&amp;bidPbancOrd=000</t>
  </si>
  <si>
    <t>Open Global Road 운영 용역(2024 창업도약패키지 창업기업 글로벌 액셀러레이팅)</t>
  </si>
  <si>
    <t>https://www.g2b.go.kr/link/PNPE027_01/single/?bidPbancNo=20240804568&amp;bidPbancOrd=000</t>
  </si>
  <si>
    <t>2024년 G-Star Dreamers 액셀러레이팅 프로그램 운영 용역</t>
  </si>
  <si>
    <t>https://www.g2b.go.kr/link/PNPE027_01/single/?bidPbancNo=20240505489&amp;bidPbancOrd=000</t>
  </si>
  <si>
    <t>2024년 서울 관광스타트업 액셀러레이팅 프로그램 운영</t>
  </si>
  <si>
    <t>https://www.g2b.go.kr/link/PNPE027_01/single/?bidPbancNo=20240417867&amp;bidPbancOrd=000</t>
  </si>
  <si>
    <t>2024년 경남형 스타트업 액셀러레이팅(지역콘텐츠산업리그)운영</t>
  </si>
  <si>
    <t>https://www.g2b.go.kr/link/PNPE027_01/single/?bidPbancNo=20240213128&amp;bidPbancOrd=002</t>
  </si>
  <si>
    <t>24년 청년식품 창업 엑셀러레이팅 프로그램 운영 용역</t>
  </si>
  <si>
    <t>https://www.g2b.go.kr/link/PNPE027_01/single/?bidPbancNo=20240221311&amp;bidPbancOrd=000</t>
  </si>
  <si>
    <t>2024년 GIST 엑셀러레이팅 프로그램 운영</t>
  </si>
  <si>
    <t>광주과학기술원</t>
  </si>
  <si>
    <t>https://www.g2b.go.kr/link/PNPE027_01/single/?bidPbancNo=20240219360&amp;bidPbancOrd=000</t>
  </si>
  <si>
    <t>K-Camp 제주3기 액셀러레이팅 프로그램 실시용역</t>
  </si>
  <si>
    <t>https://www.g2b.go.kr/link/PNPE027_01/single/?bidPbancNo=20240130639&amp;bidPbancOrd=000</t>
  </si>
  <si>
    <t>K-Camp 대구5기 액셀러레이팅 프로그램 실시용역</t>
  </si>
  <si>
    <t>https://www.g2b.go.kr/link/PNPE027_01/single/?bidPbancNo=20240130605&amp;bidPbancOrd=000</t>
  </si>
  <si>
    <t>원문 Contract Result 기준 관련 공고 25건 참여·2회 낙찰
주요 발주처: (재)경남창조경제혁신센터 7건 · 한양대학교 산학협력단 2건 · 한국식품산업클러스터진흥원 2건</t>
  </si>
  <si>
    <t>2026 한양대학교 RISE 사업 글로벌 산학협력 선도 「글로벌 액셀러레이팅 프로그램」(아시아)</t>
  </si>
  <si>
    <t>https://www.g2b.go.kr/link/PNPE027_01/single/?bidPbancNo=R26BK01518591&amp;bidPbancOrd=000</t>
  </si>
  <si>
    <t>「2026년 경남 자원연계형 로컬창업 활성화 지원사업 액셀러레이팅(동북권)」 운영용역</t>
  </si>
  <si>
    <t>https://www.g2b.go.kr/link/PNPE027_01/single/?bidPbancNo=R26BK01323636&amp;bidPbancOrd=000</t>
  </si>
  <si>
    <t>[긴급] 2026 부산관광스타트업 아카데미 운영 용역</t>
  </si>
  <si>
    <t>부산관광공사</t>
  </si>
  <si>
    <t>https://www.g2b.go.kr/link/PNPE027_01/single/?bidPbancNo=R26BK01299935&amp;bidPbancOrd=000</t>
  </si>
  <si>
    <t>2025년도「소셜벤처 창업·육성 프로그램」액셀러레이팅 프로그램 운영 용역</t>
  </si>
  <si>
    <t>화성산업진흥원</t>
  </si>
  <si>
    <t>https://www.g2b.go.kr/link/PNPE027_01/single/?bidPbancNo=R25BK00923748&amp;bidPbancOrd=000</t>
  </si>
  <si>
    <t>2025년 밸류업 액셀러레이팅 프로그램 운영 용역</t>
  </si>
  <si>
    <t>재단법인 인천창조경제혁신센터</t>
  </si>
  <si>
    <t>https://www.g2b.go.kr/link/PNPE027_01/single/?bidPbancNo=R25BK00757592&amp;bidPbancOrd=000</t>
  </si>
  <si>
    <t>스타트업 육성 프로그램 Cre-UP 2025 운영 용역</t>
  </si>
  <si>
    <t>특수법인 한국전파진흥협회</t>
  </si>
  <si>
    <t>https://www.g2b.go.kr/link/PNPE027_01/single/?bidPbancNo=R25BK00736975&amp;bidPbancOrd=000</t>
  </si>
  <si>
    <t>2025년 후기 청소년 사회적경제 창업동아리 운영 용역</t>
  </si>
  <si>
    <t>재단법인경기도사회적경제원</t>
  </si>
  <si>
    <t>https://www.g2b.go.kr/link/PNPE027_01/single/?bidPbancNo=R25BK00658751&amp;bidPbancOrd=000</t>
  </si>
  <si>
    <t>「2025 경남 자원연계형 로컬창업 활성화 지원사업 액셀러레이팅(서남권)」 운영용역</t>
  </si>
  <si>
    <t>https://www.g2b.go.kr/link/PNPE027_01/single/?bidPbancNo=R25BK00594568&amp;bidPbancOrd=001</t>
  </si>
  <si>
    <t>2025년「국방창업경진대회」위탁용역</t>
  </si>
  <si>
    <t>국방전직교육원</t>
  </si>
  <si>
    <t>https://www.g2b.go.kr/link/PNPE027_01/single/?bidPbancNo=R25BK00593760&amp;bidPbancOrd=000</t>
  </si>
  <si>
    <t>2025년 지역연계형 청년 창업 지원사업 운영 용역</t>
  </si>
  <si>
    <t>https://www.g2b.go.kr/link/PNPE027_01/single/?bidPbancNo=R25BK00569820&amp;bidPbancOrd=000</t>
  </si>
  <si>
    <t>2024 부산콘텐츠기업지원센터 콘텐츠기업 엑셀러레이팅 프로그램 운영 용역</t>
  </si>
  <si>
    <t>재단법인 부산정보산업진흥원</t>
  </si>
  <si>
    <t>https://www.g2b.go.kr/link/PNPE027_01/single/?bidPbancNo=20240719833&amp;bidPbancOrd=000</t>
  </si>
  <si>
    <t>2024년 지역연계형 청년 창업 지원사업 운영 용역</t>
  </si>
  <si>
    <t>https://www.g2b.go.kr/link/PNPE027_01/single/?bidPbancNo=20240219539&amp;bidPbancOrd=000</t>
  </si>
  <si>
    <t>원문 Contract Result 기준 관련 공고 20건 참여·3회 낙찰
주요 발주처: 경기도 성남시 4건 · (재)경기도경제과학진흥원 3건 · 국방전직교육원 2건</t>
  </si>
  <si>
    <t>26년도 국방창업경진대회 행사 운영 위탁 용역</t>
  </si>
  <si>
    <t>국방부</t>
  </si>
  <si>
    <t>https://www.g2b.go.kr/link/PNPE027_01/single/?bidPbancNo=R26BK01385582&amp;bidPbancOrd=000</t>
  </si>
  <si>
    <t>2026년 청년창업 아카데미 용역</t>
  </si>
  <si>
    <t>경기도 성남시</t>
  </si>
  <si>
    <t>소액수의견적</t>
  </si>
  <si>
    <t>https://www.g2b.go.kr/link/PNPE027_01/single/?bidPbancNo=R26BK01293383&amp;bidPbancOrd=000</t>
  </si>
  <si>
    <t>2025학년도 제5회 전국 장애·비장애 대학(원)생 창업경진대회</t>
  </si>
  <si>
    <t>한경국립대학교</t>
  </si>
  <si>
    <t>https://www.g2b.go.kr/link/PNPE027_01/single/?bidPbancNo=R25BK01211565&amp;bidPbancOrd=000</t>
  </si>
  <si>
    <t>[(긴급)제2025-국제산학24호] 2025-2학기 창업교육 프로그램 운영</t>
  </si>
  <si>
    <t>경희대학교산학협력단</t>
  </si>
  <si>
    <t>https://www.g2b.go.kr/link/PNPE027_01/single/?bidPbancNo=R25BK01171303&amp;bidPbancOrd=000</t>
  </si>
  <si>
    <t>관악형 청년 취·창업 아카데미 운영 용역</t>
  </si>
  <si>
    <t>서울특별시 관악구</t>
  </si>
  <si>
    <t>https://www.g2b.go.kr/link/PNPE027_01/single/?bidPbancNo=R25BK01034286&amp;bidPbancOrd=000</t>
  </si>
  <si>
    <t>2025년 성남시 소규모점포 청년창업 지원사업 운영 용역(협상에 의한 계약)</t>
  </si>
  <si>
    <t>https://www.g2b.go.kr/link/PNPE027_01/single/?bidPbancNo=R25BK00823931&amp;bidPbancOrd=000</t>
  </si>
  <si>
    <t>2025년 성남시 청년창업 아카데미</t>
  </si>
  <si>
    <t>소액수의견적(2인 이상 견적 제출)</t>
  </si>
  <si>
    <t>https://www.g2b.go.kr/link/PNPE027_01/single/?bidPbancNo=R25BK00603339&amp;bidPbancOrd=000</t>
  </si>
  <si>
    <t>2024년 융합기술 스타트업 데모데이 행사대행 용역</t>
  </si>
  <si>
    <t>https://www.g2b.go.kr/link/PNPE027_01/single/?bidPbancNo=20241001199&amp;bidPbancOrd=000</t>
  </si>
  <si>
    <t>2024년 성남시 청년창업 아카데미 용역</t>
  </si>
  <si>
    <t>제한최저</t>
  </si>
  <si>
    <t>https://www.g2b.go.kr/link/PNPE027_01/single/?bidPbancNo=20240903621&amp;bidPbancOrd=000</t>
  </si>
  <si>
    <t>https://www.g2b.go.kr/link/PNPE027_01/single/?bidPbancNo=20240813855&amp;bidPbancOrd=001</t>
  </si>
  <si>
    <t>2024년 국방창업경진대회 행사 운영 용역</t>
  </si>
  <si>
    <t>https://www.g2b.go.kr/link/PNPE027_01/single/?bidPbancNo=20240536974&amp;bidPbancOrd=001</t>
  </si>
  <si>
    <t>반려동물산업 스타트업 발굴 및 창업지원사업 액셀러레이팅 프로그램 운영 용역</t>
  </si>
  <si>
    <t>https://www.g2b.go.kr/link/PNPE027_01/single/?bidPbancNo=20240417905&amp;bidPbancOrd=000</t>
  </si>
  <si>
    <t>2024년「공유기업 발굴·육성」사업 액셀러레이팅 프로그램 운영 용역 공고</t>
  </si>
  <si>
    <t>https://www.g2b.go.kr/link/PNPE027_01/single/?bidPbancNo=20240308228&amp;bidPbancOrd=000</t>
  </si>
  <si>
    <t>2024 인천 관광 MICE 스타트업 육성 프로그램 운영</t>
  </si>
  <si>
    <t>인천관광공사</t>
  </si>
  <si>
    <t>https://www.g2b.go.kr/link/PNPE027_01/single/?bidPbancNo=20240237784&amp;bidPbancOrd=000</t>
  </si>
  <si>
    <t>2024 예술산업아카데미 창업교육 기획·운영 대행 용역</t>
  </si>
  <si>
    <t>(재)예술경영지원센터</t>
  </si>
  <si>
    <t>https://www.g2b.go.kr/link/PNPE027_01/single/?bidPbancNo=20240133790&amp;bidPbancOrd=000</t>
  </si>
  <si>
    <t>원문 Contract Result 기준 관련 공고 18건 참여·11회 낙찰
주요 발주처: (재)경남창조경제혁신센터 4건 · 인천테크노파크 3건 · 재단법인 서울관광재단 3건</t>
  </si>
  <si>
    <t>2026 바이오 스타트업 지원을 위한 액셀러레이팅 프로그램 운영 용역</t>
  </si>
  <si>
    <t>인천테크노파크</t>
  </si>
  <si>
    <t>https://www.g2b.go.kr/link/PNPE027_01/single/?bidPbancNo=R26BK01414553&amp;bidPbancOrd=000</t>
  </si>
  <si>
    <t>2026년 창업·벤처 녹색융합 클러스터 ESG 오픈이노베이션 운영</t>
  </si>
  <si>
    <t>https://www.g2b.go.kr/link/PNPE027_01/single/?bidPbancNo=R26BK01323997&amp;bidPbancOrd=000</t>
  </si>
  <si>
    <t>산업계 지원을 위한 플랫폼 강화 및 스케일업 프로그램 운영(2026년)</t>
  </si>
  <si>
    <t>기후에너지환경부 국립생물자원관</t>
  </si>
  <si>
    <t>https://www.g2b.go.kr/link/PNPE027_01/single/?bidPbancNo=R26BK01306056&amp;bidPbancOrd=000</t>
  </si>
  <si>
    <t>2024년 민관공동창업자발굴육성 창업기업 글로벌 진출 프로그램 운영 용역</t>
  </si>
  <si>
    <t>(사)한국엔젤투자협회</t>
  </si>
  <si>
    <t>https://www.g2b.go.kr/link/PNPE027_01/single/?bidPbancNo=R25BK00991642&amp;bidPbancOrd=000</t>
  </si>
  <si>
    <t>미래차 대중소 상생 브릿지 액셀러레이팅 프로그램 운영 용역</t>
  </si>
  <si>
    <t>https://www.g2b.go.kr/link/PNPE027_01/single/?bidPbancNo=R25BK00867713&amp;bidPbancOrd=000</t>
  </si>
  <si>
    <t>2025 서울 관광·MICE기업 지원센터 전문역량 엑셀러레이팅 프로그램 운영 용역</t>
  </si>
  <si>
    <t>https://www.g2b.go.kr/link/PNPE027_01/single/?bidPbancNo=R25BK00769814&amp;bidPbancOrd=000</t>
  </si>
  <si>
    <t>2025 인천 관광 MICE 스타트업 육성 프로그램 운영 용역</t>
  </si>
  <si>
    <t>https://www.g2b.go.kr/link/PNPE027_01/single/?bidPbancNo=R25BK00700441&amp;bidPbancOrd=000</t>
  </si>
  <si>
    <t>바이오 스타트업 지원을 위한 액셀러레이팅 프로그램 운영용역</t>
  </si>
  <si>
    <t>https://www.g2b.go.kr/link/PNPE027_01/single/?bidPbancNo=20240427767&amp;bidPbancOrd=000</t>
  </si>
  <si>
    <t>주식회사 콜즈다이나믹스</t>
  </si>
  <si>
    <t>원문 Contract Result 기준 관련 공고 18건 참여·4회 낙찰
주요 발주처: 한국예탁결제원 5건 · 사단법인 한국여성벤처협회 4건 · 한국식품산업클러스터진흥원 3건</t>
  </si>
  <si>
    <t>2026 식품진흥원 창업교육 프로그램 운영 용역</t>
  </si>
  <si>
    <t>https://www.g2b.go.kr/link/PNPE027_01/single/?bidPbancNo=R26BK01311987&amp;bidPbancOrd=000</t>
  </si>
  <si>
    <t>2025 B.Deep-Tech 액셀러레이팅 프로그램 위탁 운영 용역</t>
  </si>
  <si>
    <t>(재)부산창조경제혁신센터</t>
  </si>
  <si>
    <t>https://www.g2b.go.kr/link/PNPE027_01/single/?bidPbancNo=R25BK00869486&amp;bidPbancOrd=000</t>
  </si>
  <si>
    <t>K-Camp 제주4기 액셀러레이팅 프로그램 실시용역</t>
  </si>
  <si>
    <t>https://www.g2b.go.kr/link/PNPE027_01/single/?bidPbancNo=R25BK00590852&amp;bidPbancOrd=000</t>
  </si>
  <si>
    <t>24년 청년창업사관학교 K-유니콘 포럼 운영용역</t>
  </si>
  <si>
    <t>중소벤처기업진흥공단</t>
  </si>
  <si>
    <t>https://www.g2b.go.kr/link/PNPE027_01/single/?bidPbancNo=20240342762&amp;bidPbancOrd=000</t>
  </si>
  <si>
    <t>주식회사 에스씨지</t>
  </si>
  <si>
    <t>원문 Contract Result 기준 관련 공고 15건 참여·0회 낙찰
주요 발주처: (재)경남창조경제혁신센터 3건 · 서울특별시 2건 · 재단법인 광주정보.문화산업진흥원 1건</t>
  </si>
  <si>
    <t>RIS대학교육혁신본부 글로벌 인사이트 혁신창업 프로그램 운영 용역</t>
  </si>
  <si>
    <t>부산대학교 산학협력단</t>
  </si>
  <si>
    <t>https://www.g2b.go.kr/link/PNPE027_01/single/?bidPbancNo=20241020425&amp;bidPbancOrd=000</t>
  </si>
  <si>
    <t>24년도 청년창업사관학교 글로벌 컨퍼런스 운영</t>
  </si>
  <si>
    <t>https://www.g2b.go.kr/link/PNPE027_01/single/?bidPbancNo=20241009207&amp;bidPbancOrd=000</t>
  </si>
  <si>
    <t>2024년 GovTech 창업 경진대회 운영 용역</t>
  </si>
  <si>
    <t>https://www.g2b.go.kr/link/PNPE027_01/single/?bidPbancNo=20240425337&amp;bidPbancOrd=000</t>
  </si>
  <si>
    <t>2024년 지능형 헬스케어 기업 시장진출 액셀러레이팅 프로그램 운영 용역</t>
  </si>
  <si>
    <t>사단법인 한국스마트헬스케어협회</t>
  </si>
  <si>
    <t>https://www.g2b.go.kr/link/PNPE027_01/single/?bidPbancNo=20240343266&amp;bidPbancOrd=000</t>
  </si>
  <si>
    <t>주식회사 로우파트너스</t>
  </si>
  <si>
    <t>창업교육·캠프 · 창업보육·액셀러레이팅</t>
  </si>
  <si>
    <t>원문 Contract Result 기준 관련 공고 14건 참여·3회 낙찰
주요 발주처: 한국예탁결제원 4건 · 한국식품산업클러스터진흥원 3건 · (재)충남정보문화산업진흥원 2건</t>
  </si>
  <si>
    <t>2025년 경기창업혁신공간(북서부권역) 시·군 스타트업 육성 지원사업 (오픈그라운드) 운영 용역</t>
  </si>
  <si>
    <t>https://www.g2b.go.kr/link/PNPE027_01/single/?bidPbancNo=R25BK00860970&amp;bidPbancOrd=000</t>
  </si>
  <si>
    <t>2024 그린스타트업타운 스타트업 스케일업 프로그램 운영</t>
  </si>
  <si>
    <t>https://www.g2b.go.kr/link/PNPE027_01/single/?bidPbancNo=20240340056&amp;bidPbancOrd=000</t>
  </si>
  <si>
    <t>주식회사 뉴키즈인베스트먼트</t>
  </si>
  <si>
    <t>원문 Contract Result 기준 관련 공고 13건 참여·0회 낙찰
주요 발주처: 한국예탁결제원 2건 · (재)경기도경제과학진흥원 2건 · (재)경남창조경제혁신센터 2건</t>
  </si>
  <si>
    <t>2025년 대구콘텐츠기업지원센터 액셀러레이팅 프로그램 지원 용역</t>
  </si>
  <si>
    <t>https://www.g2b.go.kr/link/PNPE027_01/single/?bidPbancNo=R25BK00781454&amp;bidPbancOrd=000</t>
  </si>
  <si>
    <t>2025년 「공유기업 발굴·육성」 사업 액셀러레이팅 프로그램 운영 용역</t>
  </si>
  <si>
    <t>https://www.g2b.go.kr/link/PNPE027_01/single/?bidPbancNo=R25BK00748631&amp;bidPbancOrd=000</t>
  </si>
  <si>
    <t>2025년 경기도 생성형AI·공공데이터 활용 창업경진대회 운영 용역</t>
  </si>
  <si>
    <t>https://www.g2b.go.kr/link/PNPE027_01/single/?bidPbancNo=R25BK00739447&amp;bidPbancOrd=000</t>
  </si>
  <si>
    <t>DGIST 기술기반 실전창업캠프 운영 용역</t>
  </si>
  <si>
    <t>대구경북과학기술원</t>
  </si>
  <si>
    <t>https://www.g2b.go.kr/link/PNPE027_01/single/?bidPbancNo=R25BK00598881&amp;bidPbancOrd=000</t>
  </si>
  <si>
    <t>2024년 그린에너지·미래모빌리티 학생 창업 교육 용역</t>
  </si>
  <si>
    <t>제주대학교</t>
  </si>
  <si>
    <t>https://www.g2b.go.kr/link/PNPE027_01/single/?bidPbancNo=20240531147&amp;bidPbancOrd=001</t>
  </si>
  <si>
    <t>2023 동남권 SCOUT 창업캠프 해외 창업시장탐색 프로그램 기획 및 행사운영 용역</t>
  </si>
  <si>
    <t>부경대학교 산학협력단</t>
  </si>
  <si>
    <t>https://www.g2b.go.kr/link/PNPE027_01/single/?bidPbancNo=20240105019&amp;bidPbancOrd=000</t>
  </si>
  <si>
    <t>주식회사 비티비벤처스</t>
  </si>
  <si>
    <t>원문 Contract Result 기준 관련 공고 12건 참여·7회 낙찰
주요 발주처: (재)경남창조경제혁신센터 6건 · 한국예탁결제원 3건 · (재)경기도경제과학진흥원 1건</t>
  </si>
  <si>
    <t>2025년 글로벌 액셀러레이팅 프로그램 용역</t>
  </si>
  <si>
    <t>https://www.g2b.go.kr/link/PNPE027_01/single/?bidPbancNo=R25BK00762128&amp;bidPbancOrd=001</t>
  </si>
  <si>
    <t>2024년 창업도약패키지 글로벌 진출 엑셀러레이팅 프로그램 용역</t>
  </si>
  <si>
    <t>재단법인 부천산업진흥원</t>
  </si>
  <si>
    <t>https://www.g2b.go.kr/link/PNPE027_01/single/?bidPbancNo=20240813005&amp;bidPbancOrd=000</t>
  </si>
  <si>
    <t>주식회사 유디임팩트</t>
  </si>
  <si>
    <t>원문 Contract Result 기준 관련 공고 11건 참여·6회 낙찰
주요 발주처: 서울특별시 2건 · 계원디자인예술대학 산학협력단 1건 · 주식회사 엠와이소셜컴퍼니 1건</t>
  </si>
  <si>
    <t>G-Mix 세대융합창업 프로그램 운영</t>
  </si>
  <si>
    <t>계원디자인예술대학 산학협력단</t>
  </si>
  <si>
    <t>적격심사제-관리규정외 수기심사(총점입력)</t>
  </si>
  <si>
    <t>https://www.g2b.go.kr/link/PNPE027_01/single/?bidPbancNo=R26BK01580142&amp;bidPbancOrd=000</t>
  </si>
  <si>
    <t>2026 EMA-ECO 집체교육 및 데모데이 운영 용역</t>
  </si>
  <si>
    <t>주식회사 엠와이소셜컴퍼니</t>
  </si>
  <si>
    <t>수의시담-수의시담</t>
  </si>
  <si>
    <t>https://www.g2b.go.kr/link/PNPE027_01/single/?bidPbancNo=R26BK01471160&amp;bidPbancOrd=000</t>
  </si>
  <si>
    <t>「소상공인 온라인 쇼핑몰 구축(창업교육) 프로그램 운영」용역</t>
  </si>
  <si>
    <t>강릉원주대학교</t>
  </si>
  <si>
    <t>https://www.g2b.go.kr/link/PNPE027_01/single/?bidPbancNo=R25BK01134407&amp;bidPbancOrd=000</t>
  </si>
  <si>
    <t>2025년 서울 AI 허브 AI 청년 창업팀(가)을 위한  AI 심화 기술·창업 교육</t>
  </si>
  <si>
    <t>서울대학교 연구소 AI연구원</t>
  </si>
  <si>
    <t>https://www.g2b.go.kr/link/PNPE027_01/single/?bidPbancNo=R25BK00763686&amp;bidPbancOrd=000</t>
  </si>
  <si>
    <t>2025년 서울시 청년 골목창업 경진대회 운영 용역</t>
  </si>
  <si>
    <t>https://www.g2b.go.kr/link/PNPE027_01/single/?bidPbancNo=R25BK00680661&amp;bidPbancOrd=000</t>
  </si>
  <si>
    <t>젠엑시스(주)</t>
  </si>
  <si>
    <t>원문 Contract Result 기준 관련 공고 11건 참여·2회 낙찰
주요 발주처: 사단법인 한국여성벤처협회 4건 · 한국예탁결제원 2건 · 국토교통과학기술진흥원 1건</t>
  </si>
  <si>
    <t>https://www.g2b.go.kr/link/PNPE027_01/single/?bidPbancNo=R26BK01379423&amp;bidPbancOrd=001</t>
  </si>
  <si>
    <t>주식회사 메인콘텐츠</t>
  </si>
  <si>
    <t>창업교육·캠프 · 창업경진대회·IR 행사</t>
  </si>
  <si>
    <t>원문 Contract Result 기준 관련 공고 10건 참여·3회 낙찰
주요 발주처: 경복대학산학협력단 3건 · 재단법인 세종창조경제혁신센터 1건 · 경상남도 진주시 1건</t>
  </si>
  <si>
    <t>2026 세종 UNION 청년창업캠프 위탁 운영</t>
  </si>
  <si>
    <t>재단법인 세종창조경제혁신센터</t>
  </si>
  <si>
    <t>https://www.g2b.go.kr/link/PNPE027_01/single/?bidPbancNo=R26BK01459651&amp;bidPbancOrd=000</t>
  </si>
  <si>
    <t>초중고 진주 K-기업가정신 교육 운영 용역</t>
  </si>
  <si>
    <t>경상남도 진주시</t>
  </si>
  <si>
    <t>https://www.g2b.go.kr/link/PNPE027_01/single/?bidPbancNo=R26BK01423271&amp;bidPbancOrd=000</t>
  </si>
  <si>
    <t>[RISE] 경복대학교 창업 캠프(GX) 위탁 용역</t>
  </si>
  <si>
    <t>경복대학산학협력단</t>
  </si>
  <si>
    <t>수의시담</t>
  </si>
  <si>
    <t>https://www.g2b.go.kr/link/PNPE027_01/single/?bidPbancNo=R25BK01153848&amp;bidPbancOrd=000</t>
  </si>
  <si>
    <t>[RISE] 경복대학교 창업 캠프(G7) 위탁 용역</t>
  </si>
  <si>
    <t>https://www.g2b.go.kr/link/PNPE027_01/single/?bidPbancNo=R25BK01153836&amp;bidPbancOrd=000</t>
  </si>
  <si>
    <t>[혁신]경복대학교 2025학년도 기업탐방 1Day 창업캠프 운영 대행</t>
  </si>
  <si>
    <t>https://www.g2b.go.kr/link/PNPE027_01/single/?bidPbancNo=R25BK00954418&amp;bidPbancOrd=000</t>
  </si>
  <si>
    <t>공공데이터 활용 창업경진대회 운영</t>
  </si>
  <si>
    <t>한국지능정보사회진흥원</t>
  </si>
  <si>
    <t>https://www.g2b.go.kr/link/PNPE027_01/single/?bidPbancNo=20240516610&amp;bidPbancOrd=000</t>
  </si>
  <si>
    <t>2024년 경기도 청년 사회적경제 창업캠프(남부 및 데모데이)</t>
  </si>
  <si>
    <t>https://www.g2b.go.kr/link/PNPE027_01/single/?bidPbancNo=20240340415&amp;bidPbancOrd=000</t>
  </si>
  <si>
    <t>(주)시리즈벤처스</t>
  </si>
  <si>
    <t>원문 Contract Result 기준 관련 공고 9건 참여·4회 낙찰
주요 발주처: (재)경남창조경제혁신센터 6건 · (재)부산창조경제혁신센터 2건 · 재단법인 부산정보산업진흥원 1건</t>
  </si>
  <si>
    <t>「2026년 경남 자원연계형 로컬창업 활성화 지원사업 액셀러레이팅(서남권)」 운영용역</t>
  </si>
  <si>
    <t>https://www.g2b.go.kr/link/PNPE027_01/single/?bidPbancNo=R26BK01323639&amp;bidPbancOrd=000</t>
  </si>
  <si>
    <t>2024년 부산 창업기업 액셀러레이팅 프로그램 용역</t>
  </si>
  <si>
    <t>https://www.g2b.go.kr/link/PNPE027_01/single/?bidPbancNo=20240618990&amp;bidPbancOrd=000</t>
  </si>
  <si>
    <t>주식회사 오픈놀</t>
  </si>
  <si>
    <t>원문 Contract Result 기준 관련 공고 9건 참여·3회 낙찰
주요 발주처: 중소벤처기업진흥공단 2건 · 재단법인서울디자인재단 1건 · 한국디자인진흥원 1건</t>
  </si>
  <si>
    <t>2026 디자인창업기업 육성 및 판로개척 지원사업 기획·운영</t>
  </si>
  <si>
    <t>https://www.g2b.go.kr/link/PNPE027_01/single/?bidPbancNo=R26BK01515770&amp;bidPbancOrd=000</t>
  </si>
  <si>
    <t>2026년 스타일·디자인테크 유망기업 액셀러레이팅 프로그램 운영</t>
  </si>
  <si>
    <t>https://www.g2b.go.kr/link/PNPE027_01/single/?bidPbancNo=R26BK01451207&amp;bidPbancOrd=001</t>
  </si>
  <si>
    <t>2026년 청년창업사관학교 창업출정식 행사 대행용역</t>
  </si>
  <si>
    <t>https://www.g2b.go.kr/link/PNPE027_01/single/?bidPbancNo=R26BK01364377&amp;bidPbancOrd=000</t>
  </si>
  <si>
    <t>원문 Contract Result 기준 관련 공고 9건 참여·2회 낙찰
주요 발주처: 한국예탁결제원 4건 · (재)경남창조경제혁신센터 2건 · 국립순천대학교 1건</t>
  </si>
  <si>
    <t>주식회사 내비온</t>
  </si>
  <si>
    <t>원문 Contract Result 기준 관련 공고 9건 참여·1회 낙찰
주요 발주처: (재)경기도경제과학진흥원 5건 · 국토교통과학기술진흥원 2건 · 한국예탁결제원 1건</t>
  </si>
  <si>
    <t>(주)아이디어파트너스</t>
  </si>
  <si>
    <t>원문 Contract Result 기준 관련 공고 8건 참여·4회 낙찰
주요 발주처: 한국식품산업클러스터진흥원 3건 · 경기도 성남시 2건 · 연세대학교 미래캠퍼스 1건</t>
  </si>
  <si>
    <t>2026년 소규모점포 청년창업 지원사업 운영 용역(협상에 의한 계약)</t>
  </si>
  <si>
    <t>https://www.g2b.go.kr/link/PNPE027_01/single/?bidPbancNo=R26BK01497750&amp;bidPbancOrd=000</t>
  </si>
  <si>
    <t>[RISE사업] 2025학년도 동계 글로벌 창업역량강화 프로그램 운영 용역</t>
  </si>
  <si>
    <t>연세대학교 미래캠퍼스</t>
  </si>
  <si>
    <t>https://www.g2b.go.kr/link/PNPE027_01/single/?bidPbancNo=R25BK01209634&amp;bidPbancOrd=000</t>
  </si>
  <si>
    <t>2025년_경기창업혁신공간(서부권) 시군 스타트업 육성 지원사업(오픈그라운드) 운영용역</t>
  </si>
  <si>
    <t>https://www.g2b.go.kr/link/PNPE027_01/single/?bidPbancNo=R25BK00927838&amp;bidPbancOrd=000</t>
  </si>
  <si>
    <t>2024년 JCEP 엑셀러레이팅 프로그램 운영 용역</t>
  </si>
  <si>
    <t>재단법인전라남도정보문화산업진흥원</t>
  </si>
  <si>
    <t>https://www.g2b.go.kr/link/PNPE027_01/single/?bidPbancNo=20240534714&amp;bidPbancOrd=000</t>
  </si>
  <si>
    <t>주식회사 알파브라더스</t>
  </si>
  <si>
    <t>창업경진대회·IR 행사 · 창업보육·액셀러레이팅</t>
  </si>
  <si>
    <t>원문 Contract Result 기준 관련 공고 8건 참여·2회 낙찰
주요 발주처: 사단법인 한국여성벤처협회 4건 · 경기창조경제혁신센터 2건 · 한국디자인진흥원 1건</t>
  </si>
  <si>
    <t>2025 그린 탄소중립펀드 IR 및 데모데이 운영 용역</t>
  </si>
  <si>
    <t>https://www.g2b.go.kr/link/PNPE027_01/single/?bidPbancNo=R25BK00944496&amp;bidPbancOrd=000</t>
  </si>
  <si>
    <t>2024 탄소중립펀드 IR 및 데모데이 운영 용역</t>
  </si>
  <si>
    <t>https://www.g2b.go.kr/link/PNPE027_01/single/?bidPbancNo=20240622640&amp;bidPbancOrd=000</t>
  </si>
  <si>
    <t>주식회사 렛츠</t>
  </si>
  <si>
    <t>원문 Contract Result 기준 관련 공고 8건 참여·2회 낙찰
주요 발주처: (재)경기도경제과학진흥원 3건 · 재단법인 세종창조경제혁신센터 2건 · 재단법인 서울관광재단 1건</t>
  </si>
  <si>
    <t>2024년 경기 창업허브 기회 경기 스타트업 스쿨 ESG 교육 및 행사 운영 용역</t>
  </si>
  <si>
    <t>https://www.g2b.go.kr/link/PNPE027_01/single/?bidPbancNo=20240718639&amp;bidPbancOrd=000</t>
  </si>
  <si>
    <t>2024 세종 UNION 청년창업캠프 위탁운영</t>
  </si>
  <si>
    <t>https://www.g2b.go.kr/link/PNPE027_01/single/?bidPbancNo=20240327030&amp;bidPbancOrd=000</t>
  </si>
  <si>
    <t>유한회사 컴퍼니에이</t>
  </si>
  <si>
    <t>원문 Contract Result 기준 관련 공고 8건 참여·0회 낙찰
주요 발주처: 사단법인 한국여성벤처협회 4건 · 한국예탁결제원 2건 · 재단법인전라남도정보문화산업진흥원 1건</t>
  </si>
  <si>
    <t>2026년 JCEP 콘텐츠기업 엑셀러레이팅 프로그램 운영 용역</t>
  </si>
  <si>
    <t>https://www.g2b.go.kr/link/PNPE027_01/single/?bidPbancNo=R26BK01575705&amp;bidPbancOrd=000</t>
  </si>
  <si>
    <t>2025 대덕대학교 실전창업 프로그램 운영 대행 용역</t>
  </si>
  <si>
    <t>대덕대학산학협력단</t>
  </si>
  <si>
    <t>https://www.g2b.go.kr/link/PNPE027_01/single/?bidPbancNo=R25BK00968131&amp;bidPbancOrd=000</t>
  </si>
  <si>
    <t>주식회사 알파랩</t>
  </si>
  <si>
    <t>원문 Contract Result 기준 관련 공고 8건 참여·0회 낙찰
주요 발주처: 한국식품산업클러스터진흥원 3건 · 서울특별시 2건 · (재)서울경제진흥원 1건</t>
  </si>
  <si>
    <t>2024년 춘천 원도심 창업교육·인큐베이팅·창업공간 조성 용역</t>
  </si>
  <si>
    <t>재단법인강원정보문화산업진흥원</t>
  </si>
  <si>
    <t>https://www.g2b.go.kr/link/PNPE027_01/single/?bidPbancNo=20240801302&amp;bidPbancOrd=000</t>
  </si>
  <si>
    <t>한양대학교기술지주회사 주식회사</t>
  </si>
  <si>
    <t>원문 Contract Result 기준 관련 공고 7건 참여·1회 낙찰
주요 발주처: 사단법인 한국여성벤처협회 4건 · 서울특별시 2건 · 한국디자인진흥원 1건</t>
  </si>
  <si>
    <t>주식회사 오케이어스</t>
  </si>
  <si>
    <t>원문 Contract Result 기준 관련 공고 6건 참여·4회 낙찰
주요 발주처: 서울특별시 5건 · 재단법인 평택산업진흥원 1건</t>
  </si>
  <si>
    <t>(재입찰) 2024년 평택 창업경진대회 및 팝(PoP) 스타트업 Day 용역</t>
  </si>
  <si>
    <t>재단법인 평택산업진흥원</t>
  </si>
  <si>
    <t>https://www.g2b.go.kr/link/PNPE027_01/single/?bidPbancNo=20240820730&amp;bidPbancOrd=000</t>
  </si>
  <si>
    <t>2024년 청년 골목창업 경진대회 운영 용역</t>
  </si>
  <si>
    <t>https://www.g2b.go.kr/link/PNPE027_01/single/?bidPbancNo=20240301632&amp;bidPbancOrd=000</t>
  </si>
  <si>
    <t>주식회사 티비즈</t>
  </si>
  <si>
    <t>원문 Contract Result 기준 관련 공고 6건 참여·4회 낙찰
주요 발주처: 재단법인 경북테크노파크 2건 · 경북대학교 산학협력단 1건 · 재단법인 인천창조경제혁신센터 1건</t>
  </si>
  <si>
    <t>2026 경북지역 성장사다리 지원사업 액셀러레이팅 프로그램 운영 용역</t>
  </si>
  <si>
    <t>https://www.g2b.go.kr/link/PNPE027_01/single/?bidPbancNo=R26BK01568829&amp;bidPbancOrd=000</t>
  </si>
  <si>
    <t>[3-4] RISE-Up 기술 기반 액셀러레이팅 프로그램 운영 용역</t>
  </si>
  <si>
    <t>경북대학교 산학협력단</t>
  </si>
  <si>
    <t>https://www.g2b.go.kr/link/PNPE027_01/single/?bidPbancNo=R25BK01105005&amp;bidPbancOrd=000</t>
  </si>
  <si>
    <t>2025 경북지역 성장사다리 지원사업 액셀러레이팅 프로그램 운영 용역</t>
  </si>
  <si>
    <t>https://www.g2b.go.kr/link/PNPE027_01/single/?bidPbancNo=R25BK00866705&amp;bidPbancOrd=000</t>
  </si>
  <si>
    <t>서울패션허브 투자유치 프로그램 및 데모데이 운영 용역</t>
  </si>
  <si>
    <t>사단법인 한국패션디자이너연합회</t>
  </si>
  <si>
    <t>https://www.g2b.go.kr/link/PNPE027_01/single/?bidPbancNo=20241024075&amp;bidPbancOrd=000</t>
  </si>
  <si>
    <t>(주)티비지파트너스</t>
  </si>
  <si>
    <t>원문 Contract Result 기준 관련 공고 6건 참여·3회 낙찰
주요 발주처: (재)경기도경제과학진흥원 2건 · (재)충청북도창조경제혁신센터 1건 · 인천테크노파크 1건</t>
  </si>
  <si>
    <t>(긴급) 2026 청주시 K-바이오 글로벌 액셀러레이팅 프로그램 운영 용역</t>
  </si>
  <si>
    <t>(재)충청북도창조경제혁신센터</t>
  </si>
  <si>
    <t>https://www.g2b.go.kr/link/PNPE027_01/single/?bidPbancNo=R26BK01591889&amp;bidPbancOrd=000</t>
  </si>
  <si>
    <t>주식회사 킹고스프링</t>
  </si>
  <si>
    <t>원문 Contract Result 기준 관련 공고 6건 참여·2회 낙찰
주요 발주처: 사단법인 한국여성벤처협회 4건 · (재)경기도경제과학진흥원 1건 · 재단법인충남콘텐츠진흥원 1건</t>
  </si>
  <si>
    <t>주식회사 크립톤</t>
  </si>
  <si>
    <t>원문 Contract Result 기준 관련 공고 6건 참여·2회 낙찰
주요 발주처: (재)경남창조경제혁신센터 6건</t>
  </si>
  <si>
    <t>주식회사 어반플레이</t>
  </si>
  <si>
    <t>원문 Contract Result 기준 관련 공고 6건 참여·2회 낙찰
주요 발주처: 서울특별시 3건 · 재단법인서울디자인재단 2건 · 서울특별시 관악구 1건</t>
  </si>
  <si>
    <t>조슈아파트너스 주식회사</t>
  </si>
  <si>
    <t>원문 Contract Result 기준 관련 공고 6건 참여·1회 낙찰
주요 발주처: 사단법인 한국여성벤처협회 4건 · 재단법인대전정보문화산업진흥원 1건 · 한국예탁결제원 1건</t>
  </si>
  <si>
    <t>2024 슈퍼콘 액셀러레이팅 프로그램 운영 용역</t>
  </si>
  <si>
    <t>재단법인대전정보문화산업진흥원</t>
  </si>
  <si>
    <t>https://www.g2b.go.kr/link/PNPE027_01/single/?bidPbancNo=20240706499&amp;bidPbancOrd=000</t>
  </si>
  <si>
    <t>2026년(7월 기준) 공고</t>
  </si>
  <si>
    <t>사업영역별 공고 전수 · 자격조건을 원문 키별 열로 분리해 필터 가능 · 진입 검토는 킥오프 논의를 위한 가설이며 법적 참가자격 판정이 아님</t>
  </si>
  <si>
    <t>창업교육·캠프 · 36건 (진행중 3건)</t>
  </si>
  <si>
    <t>낙찰기업</t>
  </si>
  <si>
    <t>진입 검토</t>
  </si>
  <si>
    <t>진입 판단 근거</t>
  </si>
  <si>
    <t>면허</t>
  </si>
  <si>
    <t>직접생산확인</t>
  </si>
  <si>
    <t>실적요건</t>
  </si>
  <si>
    <t>공동수급</t>
  </si>
  <si>
    <t>기업규모</t>
  </si>
  <si>
    <t>지역제한</t>
  </si>
  <si>
    <t>기타조건</t>
  </si>
  <si>
    <t>링크</t>
  </si>
  <si>
    <t>배재대학교 지역성장 인재양성체계 2026년도 로컬크리에이터 양성 특화 과정</t>
  </si>
  <si>
    <t>배재대학교 산학협력단</t>
  </si>
  <si>
    <t>조건부 검토</t>
  </si>
  <si>
    <t>유사실적 증빙의 법인 귀속·금액·완료 여부 확인 필요</t>
  </si>
  <si>
    <t>불허</t>
  </si>
  <si>
    <t>대기업 참여 불가</t>
  </si>
  <si>
    <t>제한 없음</t>
  </si>
  <si>
    <t>규격가격동시입찰-제안적격자 중 예가 내 최저가 투찰자</t>
  </si>
  <si>
    <t>없음</t>
  </si>
  <si>
    <t>https://www.g2b.go.kr/link/PNPE027_01/single/?bidPbancNo=R26BK01634205&amp;bidPbancOrd=000</t>
  </si>
  <si>
    <t>2026년 창업동아리(TU-VCC) 중간성과 캠프 운영 용역</t>
  </si>
  <si>
    <t>한국공학대학교 산학협력단</t>
  </si>
  <si>
    <t>자격 확인</t>
  </si>
  <si>
    <t>요구 업종코드 또는 직접생산확인의 브랜드넛 보유 여부가 위키에서 확인되지 않음</t>
  </si>
  <si>
    <t>학술.연구용역(1169)</t>
  </si>
  <si>
    <t>https://www.g2b.go.kr/link/PNPE027_01/single/?bidPbancNo=R26BK01642280&amp;bidPbancOrd=000</t>
  </si>
  <si>
    <t>우선 검토</t>
  </si>
  <si>
    <t>특수 업종·직생·명시적 실적 제한이 확인되지 않아 과업 적합성 우선 검토</t>
  </si>
  <si>
    <t>실적 조건 없음</t>
  </si>
  <si>
    <t>https://www.g2b.go.kr/link/PNPE027_01/single/?bidPbancNo=R26BK01643105&amp;bidPbancOrd=000</t>
  </si>
  <si>
    <t>2025년 동계 노원 대학 연합 창업캠프 사전규격 공개</t>
  </si>
  <si>
    <t>광운대학교</t>
  </si>
  <si>
    <t>주식회사 핸드파트너스</t>
  </si>
  <si>
    <t>2단계경쟁입찰</t>
  </si>
  <si>
    <t>https://www.g2b.go.kr/link/PNPE027_01/single/?bidPbancNo=R26BK01258115&amp;bidPbancOrd=000</t>
  </si>
  <si>
    <t>2025학년도 CHSU 고교-대학 연계 창업캠프 위탁용역 입찰공고</t>
  </si>
  <si>
    <t>충북보건과학대학교 산학협력단</t>
  </si>
  <si>
    <t>https://www.g2b.go.kr/link/PNPE027_01/single/?bidPbancNo=R26BK01263375&amp;bidPbancOrd=000</t>
  </si>
  <si>
    <t>세현</t>
  </si>
  <si>
    <t>창업기획자(6883); 학술.연구용역(1169)</t>
  </si>
  <si>
    <t>제한 있음 (경기도)</t>
  </si>
  <si>
    <t>독일마을 관광창업 아카데미 운영 용역</t>
  </si>
  <si>
    <t>재단법인 남해군관광문화재단</t>
  </si>
  <si>
    <t>기타자유업종(9999)</t>
  </si>
  <si>
    <t>전문인력·기타: 제안서 발표자는 반드시 제안서에 명시된 사람이어야 하며, 사업 종료 시까지 본 사업을 수행해야 하므로 참여 인력에 대한 제한이 있습니다.</t>
  </si>
  <si>
    <t>https://www.g2b.go.kr/link/PNPE027_01/single/?bidPbancNo=R26BK01295074&amp;bidPbancOrd=000</t>
  </si>
  <si>
    <t>주식회사 엘투플랜</t>
  </si>
  <si>
    <t>기타행사기획및대행서비스(8014199001)</t>
  </si>
  <si>
    <t>제한 있음 (부산광역시)</t>
  </si>
  <si>
    <t>전문인력·기타: 공고서 참조</t>
  </si>
  <si>
    <t>창업기획자(6883)</t>
  </si>
  <si>
    <t>기타교육서비스(8610169601)</t>
  </si>
  <si>
    <t>광양시 청년복합공간 창업교육용역</t>
  </si>
  <si>
    <t>전라남도 광양시</t>
  </si>
  <si>
    <t>전문인력·기타: 입찰참가자격 및 과업지시서에 따라 교육분야에서 학식과 경험이 풍부한 전문가로 연구진을 구성하고, 참여인력 이력사항 및 교육 전문 인력 보유현황 제출이 요구되므로 전문 인력 제한이 있습니다.</t>
  </si>
  <si>
    <t>https://www.g2b.go.kr/link/PNPE027_01/single/?bidPbancNo=R26BK01369229&amp;bidPbancOrd=000</t>
  </si>
  <si>
    <t>사자가온다 주식회사</t>
  </si>
  <si>
    <t>오렌지나무 주식회사</t>
  </si>
  <si>
    <t>전문인력·기타: 입찰참가자격에는 별도의 인력 제한이 없으나, 제안서 제출 서류에 사업수행 조직 및 인원현황, 참여인력 이력사항 등 인력 관련 서류 제출이 요구되므로 실질적으로 참여인력 명단 제출이 필요합니다.</t>
  </si>
  <si>
    <t>[I-RISE] 2026년 학생창업유망팀 300+ 대비 컨설팅 프로그램</t>
  </si>
  <si>
    <t>인하대학교 산학협력단</t>
  </si>
  <si>
    <t>https://www.g2b.go.kr/link/PNPE027_01/single/?bidPbancNo=R26BK01432225&amp;bidPbancOrd=001</t>
  </si>
  <si>
    <t>전문인력·기타: 제안서 발표자는 업체 대표 또는 사업총괄책임자(PM)로 제한되어 있으며, 발표자 자격이 요구됩니다.</t>
  </si>
  <si>
    <t>2026년 경기 스타트업 아카데미 글로벌 유니콘 캠퍼스 과정 운영 용역</t>
  </si>
  <si>
    <t>전문인력·기타: 총괄 PM 1인 포함 최소 3인 이상으로 구성하며, 총괄 PM은 유사 경력 7년 이상, 전담 직원은 유사 경력 1년 이상을 보유해야 합니다.</t>
  </si>
  <si>
    <t>https://www.g2b.go.kr/link/PNPE027_01/single/?bidPbancNo=R26BK01477912&amp;bidPbancOrd=000</t>
  </si>
  <si>
    <t>2026 학생 창업유망팀 300+ 육성과정(성장) 멘토링 운영 용역</t>
  </si>
  <si>
    <t>재단법인 한국청년기업가정신재단</t>
  </si>
  <si>
    <t>허용</t>
  </si>
  <si>
    <t>https://www.g2b.go.kr/link/PNPE027_01/single/?bidPbancNo=R26BK01482063&amp;bidPbancOrd=000</t>
  </si>
  <si>
    <t>2026 학생 창업유망팀 300+ 육성과정(도약) 멘토링 운영 용역</t>
  </si>
  <si>
    <t>전문인력·기타: 입찰참가자격에는 수행조직 및 투입인력의 전문성, 전문인력 및 진행인력 투입계획의 적절성이 평가항목으로 명시되어 있어 전문 인력 보유가 필수입니다.</t>
  </si>
  <si>
    <t>https://www.g2b.go.kr/link/PNPE027_01/single/?bidPbancNo=R26BK01481937&amp;bidPbancOrd=000</t>
  </si>
  <si>
    <t>2025년 초고도 창업 교육과정 추가 개발 운영</t>
  </si>
  <si>
    <t>전주비전대학 산학협력단</t>
  </si>
  <si>
    <t>전문인력·기타: 참여인력 현황 제출이 요구되며, 과업지시서에 따라 용역 수행이 가능한 인력 보유가 필수입니다.</t>
  </si>
  <si>
    <t>https://www.g2b.go.kr/link/PNPE027_01/single/?bidPbancNo=R26BK01486096&amp;bidPbancOrd=000</t>
  </si>
  <si>
    <t>전문인력·기타: 참여인력 현황 제출이 요구되며, 입찰참가자격에 전문 인력 조건이 명시되어 있습니다.</t>
  </si>
  <si>
    <t>https://www.g2b.go.kr/link/PNPE027_01/single/?bidPbancNo=R26BK01505719&amp;bidPbancOrd=000</t>
  </si>
  <si>
    <t>[혁신] 경복대학교 창업 캠프 위탁</t>
  </si>
  <si>
    <t>브랜드성장연구소</t>
  </si>
  <si>
    <t>https://www.g2b.go.kr/link/PNPE027_01/single/?bidPbancNo=R26BK01504144&amp;bidPbancOrd=000</t>
  </si>
  <si>
    <t>주식회사 첫눈</t>
  </si>
  <si>
    <t>창업기획자(6883); 기타자유업(행사대행업)(9901)</t>
  </si>
  <si>
    <t>2026학년도 하계 노원 대학 연합 창업캠프</t>
  </si>
  <si>
    <t>2단계경쟁입찰-가격입찰서제출자 중 예가 내 최저가 투찰자</t>
  </si>
  <si>
    <t>https://www.g2b.go.kr/link/PNPE027_01/single/?bidPbancNo=R26BK01530174&amp;bidPbancOrd=000</t>
  </si>
  <si>
    <t>강남세움복지관 장애인 쇼핑몰 제작 및 오픈마켓 전문셀러 온라인 창업 교육 운영(안내공고문)</t>
  </si>
  <si>
    <t>강남세움복지관</t>
  </si>
  <si>
    <t>사단법인 행복을 나누는 복지법인</t>
  </si>
  <si>
    <t>https://www.g2b.go.kr/link/PNPE027_01/single/?bidPbancNo=R26BK01537453&amp;bidPbancOrd=000</t>
  </si>
  <si>
    <t>2026(3차)년도 K-MEDI 창업사관학교 단계별 창업교육 프로그램 운영 용역</t>
  </si>
  <si>
    <t>대구한의대학교 산학협력단</t>
  </si>
  <si>
    <t>https://www.g2b.go.kr/link/PNPE027_01/single/?bidPbancNo=R26BK01543373&amp;bidPbancOrd=000</t>
  </si>
  <si>
    <t>[제2026-국제산학03호] 2026학년도 창업교육프로그램 운영 용역업체 선정</t>
  </si>
  <si>
    <t>(주)동아일보사</t>
  </si>
  <si>
    <t>https://www.g2b.go.kr/link/PNPE027_01/single/?bidPbancNo=R26BK01539526&amp;bidPbancOrd=001</t>
  </si>
  <si>
    <t>2026 Startup Build - AI 창업캠프 운영업체 선정 입찰</t>
  </si>
  <si>
    <t>아주대학교 산학협력</t>
  </si>
  <si>
    <t>공고서 참고</t>
  </si>
  <si>
    <t>https://www.g2b.go.kr/link/PNPE027_01/single/?bidPbancNo=R26BK01552309&amp;bidPbancOrd=000&amp;prcmBsneSeCd=09&amp;pbancType=pbanc</t>
  </si>
  <si>
    <t>[RISE사업] 지역민 창업교육 WAVE 창업 렉토링 아카데미 운영 용역</t>
  </si>
  <si>
    <t>원주진로지원센터 이룸협동조합</t>
  </si>
  <si>
    <t>직업정보제공사업(5605); 학술.연구용역 (1169), 기타자유업(행사대행업)(9901)</t>
  </si>
  <si>
    <t>전문인력·기타: 입찰참가자격에는 참여인력의 경력, 자격증, 건강보험득실확인서 등 전문 인력에 대한 제출 및 보유 요건이 명시되어 있습니다.</t>
  </si>
  <si>
    <t>https://www.g2b.go.kr/link/PNPE027_01/single/?bidPbancNo=R26BK01553747&amp;bidPbancOrd=000</t>
  </si>
  <si>
    <t>2026년 K-로컬창업스쿨 예비창업가 창업교육 운영 용역 입찰 공고</t>
  </si>
  <si>
    <t>전문인력·기타: 입찰 참가자격에는 분야별 책임자 및 실제 투입 가능한 상근 전문인력 보유와 경력, 자격증, 재직증명서 등 인력 관련 증빙서류 제출이 필수입니다.</t>
  </si>
  <si>
    <t>https://www.g2b.go.kr/link/PNPE027_01/single/?bidPbancNo=R26BK01553158&amp;bidPbancOrd=001</t>
  </si>
  <si>
    <t>[대림대학교]2026학년도 창업교육 혁신 선도대학(SCOUT)사업_글로컬 창업프론티어 이니셔티브</t>
  </si>
  <si>
    <t>대림대학교 산학협력단</t>
  </si>
  <si>
    <t>지비산업정보원 주식회사</t>
  </si>
  <si>
    <t>https://www.g2b.go.kr/link/PNPE027_01/single/?bidPbancNo=R26BK01560988&amp;bidPbancOrd=000</t>
  </si>
  <si>
    <t>https://www.g2b.go.kr/link/PNPE027_01/single/?bidPbancNo=R26BK01566891&amp;bidPbancOrd=000</t>
  </si>
  <si>
    <t>SNU제약바이오인력양성센터  2026년도 메디컬 창업 부트캠프 운영 용역</t>
  </si>
  <si>
    <t>서울대학교 연구소 미래혁신연구원</t>
  </si>
  <si>
    <t>주식회사 씨에이치에이컴퍼니</t>
  </si>
  <si>
    <t>기타자유업(행사대행업)(9901)</t>
  </si>
  <si>
    <t>https://www.g2b.go.kr/link/PNPE027_01/single/?bidPbancNo=R26BK01574111&amp;bidPbancOrd=000</t>
  </si>
  <si>
    <t>[긴급]2026. J-스타트업 스쿨(2기) 심화트랙 운영 위탁 용역</t>
  </si>
  <si>
    <t>전라남도교육청</t>
  </si>
  <si>
    <t>종합여행업(1261); 국내외여행업(1262)</t>
  </si>
  <si>
    <t>제한 있음 (전라남도)</t>
  </si>
  <si>
    <t>전문인력·기타: 입찰 참가자격에는 실제 사업현장에 직접 투입 가능한 인력, 각 부문별 투입인력, 총괄책임자, 운영 인력, 강사 등 구체적 인력 명단과 관련 경력 및 자격증 증빙자료 제출이 필수로 요구되고 있습니다.</t>
  </si>
  <si>
    <t>https://www.g2b.go.kr/link/PNPE027_01/single/?bidPbancNo=R26BK01572842&amp;bidPbancOrd=000</t>
  </si>
  <si>
    <t>https://www.g2b.go.kr/link/PNPE027_01/single/?bidPbancNo=R26BK01615802&amp;bidPbancOrd=000</t>
  </si>
  <si>
    <t>[RISE-창업] 2026 YUnicorn 지역정주형 창업스쿨 용역</t>
  </si>
  <si>
    <t>영남대학교</t>
  </si>
  <si>
    <t>제한 있음 (대구광역시)</t>
  </si>
  <si>
    <t>https://www.g2b.go.kr/link/PNPE027_01/single/?bidPbancNo=R26BK01625638&amp;bidPbancOrd=000</t>
  </si>
  <si>
    <t>창업경진대회·IR 행사 · 27건 (진행중 3건)</t>
  </si>
  <si>
    <t>부산 AI 창업 경진대회 운영</t>
  </si>
  <si>
    <t>https://www.g2b.go.kr/link/PNPE027_01/single/?bidPbancNo=R26BK01630535&amp;bidPbancOrd=000</t>
  </si>
  <si>
    <t>전문인력·기타: 사업관리자(PM)가 제안서 발표를 직접 진행해야 하며, 참가업체별 발표 참석 인원은 2인 이내로 제한됩니다.</t>
  </si>
  <si>
    <t>https://www.g2b.go.kr/link/PNPE027_01/single/?bidPbancNo=R26BK01631256&amp;bidPbancOrd=000</t>
  </si>
  <si>
    <t>[긴급]모두의창업 페스티벌 in 충남, 2026 스타트업 컨퍼런스 위탁 운영 용역</t>
  </si>
  <si>
    <t>충남창조경제혁신센터</t>
  </si>
  <si>
    <t>전문인력·기타: 참여인력 4대보험 가입증명서 제출을 요구하고 있으며, 수행능력 평가 항목에 참여인력 구성의 적절성 및 인프라 구축을 평가하므로 전문적 인력 보유 조건이 있습니다.</t>
  </si>
  <si>
    <t>https://www.g2b.go.kr/link/PNPE027_01/single/?bidPbancNo=R26BK01636926&amp;bidPbancOrd=000</t>
  </si>
  <si>
    <t>“2026년 여성창업경진대회 사전홍보 및 교육”기획․운영 용역</t>
  </si>
  <si>
    <t>재단법인 여성기업종합지원센터</t>
  </si>
  <si>
    <t>전문인력·기타: 행사대행업으로 등록된 업체만 입찰에 참여하실 수 있으며, 조직 및 핵심개발인력 현황, 핵심개발인력(PM) 및 참여인력 이력사항(재직증명서, 4대보험 가입증명서, 경력 및 관련 자격증 등) 제출이 요구됩니다.</t>
  </si>
  <si>
    <t>https://www.g2b.go.kr/link/PNPE027_01/single/?bidPbancNo=R26BK01331456&amp;bidPbancOrd=000</t>
  </si>
  <si>
    <t>https://www.g2b.go.kr/link/PNPE027_01/single/?bidPbancNo=R26BK01359451&amp;bidPbancOrd=000</t>
  </si>
  <si>
    <t>주식회사 위드바톤(With Baton Co.,Ltd.)</t>
  </si>
  <si>
    <t>전문인력·기타: 사업관리자(PM) 등 참여인력의 재직증명서 및 4대보험 가입증명자료 제출이 요구되며, 제안서 내 참여인력의 경력, 자격, 학력 등 인력 요건을 반드시 기재하여야 합니다.</t>
  </si>
  <si>
    <t>주식회사 프리미어플랜</t>
  </si>
  <si>
    <t>2026년 서울시 청년 골목창업 경진대회 운영 용역</t>
  </si>
  <si>
    <t>기타자유업(행사대행업)(9901); 기타자유업(광고대행업)(9902)</t>
  </si>
  <si>
    <t>전문인력·기타: 입찰참가자격에 사업 책임자(PM)는 반드시 참여인력 현황표상의 총괄 책임자(상근직원)이어야 하며, 참여인력 현황 및 이력사항 제출이 요구되어 전문 인력 보유가 필수입니다.</t>
  </si>
  <si>
    <t>https://www.g2b.go.kr/link/PNPE027_01/single/?bidPbancNo=R26BK01392554&amp;bidPbancOrd=000</t>
  </si>
  <si>
    <t>국방과학기술을 활용한 창업경진대회 추진 용역</t>
  </si>
  <si>
    <t>방위사업청</t>
  </si>
  <si>
    <t>주식회사 베타랩</t>
  </si>
  <si>
    <t>https://www.g2b.go.kr/link/PNPE027_01/single/?bidPbancNo=R26BK01418766&amp;bidPbancOrd=000</t>
  </si>
  <si>
    <t>26-덕-해병대 창업경진대회 대행 용역</t>
  </si>
  <si>
    <t>해병 제9691부대</t>
  </si>
  <si>
    <t>전문인력·기타: 본 사업에 직접 참여하는 종사자의 경력, 자격증, 학위증 등 증빙자료를 제출해야 하며 실제 과업현장에 투입 가능한 기술자에 대해 개인별 이력사항을 제출해야 하므로 인력 제한이 있습니다.</t>
  </si>
  <si>
    <t>https://www.g2b.go.kr/link/PNPE027_01/single/?bidPbancNo=R26BK01456218&amp;bidPbancOrd=000</t>
  </si>
  <si>
    <t>2026 학생 창업유망팀 300+ 행사 운영 및 심사 지원 운영 용역</t>
  </si>
  <si>
    <t>https://www.g2b.go.kr/link/PNPE027_01/single/?bidPbancNo=R26BK01459167&amp;bidPbancOrd=000</t>
  </si>
  <si>
    <t>울진군 창업아카데미 및 창업아이디어톤 운영 용역</t>
  </si>
  <si>
    <t>재단법인 환동해산업연구원</t>
  </si>
  <si>
    <t>주식회사 인트윈</t>
  </si>
  <si>
    <t>기타자유업(행사대행업)(9901); 기타자유업종(9999)</t>
  </si>
  <si>
    <t>https://www.g2b.go.kr/link/PNPE027_01/single/?bidPbancNo=R26BK01463351&amp;bidPbancOrd=001</t>
  </si>
  <si>
    <t>제14회 범정부 공공데이터·AI 활용 창업경진대회 운영</t>
  </si>
  <si>
    <t>주식회사 지넥스</t>
  </si>
  <si>
    <t>전문인력·기타: 제안서에 사업관리자(PM)을 반드시 명기하여야 하며, 사업관리자(PM)가 직접 발표에 참여해야 하므로 사업관리자(PM) 인력 보유가 필수입니다.</t>
  </si>
  <si>
    <t>https://www.g2b.go.kr/link/PNPE027_01/single/?bidPbancNo=R26BK01474898&amp;bidPbancOrd=000</t>
  </si>
  <si>
    <t>“2026년 여성창업경진대회 시상식 및 네트워크” 기획운영</t>
  </si>
  <si>
    <t>전문인력·기타: 핵심개발인력(PM) 및 참여인력의 이력사항(재직증명서, 4대 보험 가입증명서, 경력 및 관련 자격증 등)을 제출해야 하므로 전문 인력 보유가 필수입니다.</t>
  </si>
  <si>
    <t>https://www.g2b.go.kr/link/PNPE027_01/single/?bidPbancNo=R26BK01486774&amp;bidPbancOrd=000</t>
  </si>
  <si>
    <t>2026년 대구광역시 공공데이터·AI 활용 창업경진대회 운영 용역</t>
  </si>
  <si>
    <t>(주)다우플랫폼</t>
  </si>
  <si>
    <t>https://www.g2b.go.kr/link/PNPE027_01/single/?bidPbancNo=R26BK01492240&amp;bidPbancOrd=000</t>
  </si>
  <si>
    <t>전문인력·기타: 본 사업에 직접 참여하는 종사자에 대해 개인별 경력, 자격증 등 증빙자료를 제출해야 하며, 실제 과업현장에 투입 가능한 기술자에 대한 인력 요건이 요구됩니다.</t>
  </si>
  <si>
    <t>https://www.g2b.go.kr/link/PNPE027_01/single/?bidPbancNo=R26BK01492407&amp;bidPbancOrd=000</t>
  </si>
  <si>
    <t>2026년 과학기술 창업경진대회(연구자리그) 운영지원 용역</t>
  </si>
  <si>
    <t>전문인력·기타: 투입인력 업무 분장도 제출이 요구되며, 참여인력 증빙은 관련 전문 자격증 첨부(해당자에 한함)로 전문 인력 조건이 있습니다.</t>
  </si>
  <si>
    <t>https://www.g2b.go.kr/link/PNPE027_01/single/?bidPbancNo=R26BK01492745&amp;bidPbancOrd=000</t>
  </si>
  <si>
    <t>2026 학생 창업유망팀 300+ 행사 운영 및 심사 지원 용역</t>
  </si>
  <si>
    <t>전문인력·기타: 입찰참가자격에는 투입인력의 전문성 및 전문인력 투입계획 등 인력의 전문성이 평가항목에 포함되어 있으므로, 전문 인력 보유가 필수입니다.</t>
  </si>
  <si>
    <t>https://www.g2b.go.kr/link/PNPE027_01/single/?bidPbancNo=R26BK01500341&amp;bidPbancOrd=000</t>
  </si>
  <si>
    <t>2026년 화성시 소셜벤처 창업 아이디어 경진대회 행사대행 용역</t>
  </si>
  <si>
    <t>경기도 화성시</t>
  </si>
  <si>
    <t>커넥티움</t>
  </si>
  <si>
    <t>소액수의견적-소액수의견적(2인 이상 견적 제출)</t>
  </si>
  <si>
    <t>https://www.g2b.go.kr/link/PNPE027_01/single/?bidPbancNo=R26BK01524630&amp;bidPbancOrd=000</t>
  </si>
  <si>
    <t>주식회사 펜벤처스코리아</t>
  </si>
  <si>
    <t>기타사업지원서비스(8016159001)</t>
  </si>
  <si>
    <t>전문인력·기타: 참여인력(상주인력) 이력사항, 자격증, 해당분야 근무경력 등 전문 인력의 명단과 증빙자료를 제출하셔야 하며, 본 사업 참여역할과 연관된 수행업무 중심으로 기재하셔야 합니다.</t>
  </si>
  <si>
    <t>2026년 한-아세안 AI 개발/창업 경진대회 개최·운영 대행 용역</t>
  </si>
  <si>
    <t>주식회사 와이에스케이파트너스</t>
  </si>
  <si>
    <t>전문인력·기타: 입찰참가자격에는 참여인력(상주인력) 이력사항 및 자격증, 해당분야 근무경력 등 전문 인력 조건이 요구됩니다.</t>
  </si>
  <si>
    <t>https://www.g2b.go.kr/link/PNPE027_01/single/?bidPbancNo=R26BK01539133&amp;bidPbancOrd=000</t>
  </si>
  <si>
    <t>2026년 대학협력기반 거점구축과제 부산 앵커 대학 창업동아리 성과공유회 운영 용역</t>
  </si>
  <si>
    <t>네오인</t>
  </si>
  <si>
    <t>https://www.g2b.go.kr/link/PNPE027_01/single/?bidPbancNo=R26BK01576782&amp;bidPbancOrd=000</t>
  </si>
  <si>
    <t>2026년 평택 창업경진대회 및 팝 스타트업 데이 행사 대행 용역</t>
  </si>
  <si>
    <t>주식회사 이든앤스페이스</t>
  </si>
  <si>
    <t>https://www.g2b.go.kr/link/PNPE027_01/single/?bidPbancNo=R26BK01593897&amp;bidPbancOrd=000</t>
  </si>
  <si>
    <t>2026 창업 경진대회 운영 용역</t>
  </si>
  <si>
    <t>https://www.g2b.go.kr/link/PNPE027_01/single/?bidPbancNo=R26BK01606502&amp;bidPbancOrd=000</t>
  </si>
  <si>
    <t>2026년 한국기계연구원 창업 아이디어 경진대회 운영</t>
  </si>
  <si>
    <t>한국기계연구원</t>
  </si>
  <si>
    <t>https://www.g2b.go.kr/link/PNPE027_01/single/?bidPbancNo=R26BK01619853&amp;bidPbancOrd=000</t>
  </si>
  <si>
    <t>2026년 K-스타트업 해외사절단 중국 프로그램(한-중 창업경진대회) 위탁운영 용역</t>
  </si>
  <si>
    <t>https://www.g2b.go.kr/link/PNPE027_01/single/?bidPbancNo=R26BK01620157&amp;bidPbancOrd=000</t>
  </si>
  <si>
    <t>창업보육·액셀러레이팅 · 67건 (진행중 4건)</t>
  </si>
  <si>
    <t>(서울 RISE) RISE CREW 말레이시아 진출 엑셀러레이팅 프로그램 운영 용역</t>
  </si>
  <si>
    <t>성균관대학교 (인)산학협력단</t>
  </si>
  <si>
    <t>선별 검토</t>
  </si>
  <si>
    <t>장기 보육·투자연계 범위와 전담 운영역량을 개별 원문에서 확인할 필요</t>
  </si>
  <si>
    <t>https://www.g2b.go.kr/link/PNPE027_01/single/?bidPbancNo=R26BK01630493&amp;bidPbancOrd=000</t>
  </si>
  <si>
    <t>파트너 우선</t>
  </si>
  <si>
    <t>창업기획자·투자 관련 자격 또는 역할이 요구되어 등록 파트너 경로가 우선</t>
  </si>
  <si>
    <t>전문인력·기타: 공고일 기준 중소벤처기업부 등록 창업기획자(액셀러레이터) 등록이 필수입니다.</t>
  </si>
  <si>
    <t>https://www.g2b.go.kr/link/PNPE027_01/single/?bidPbancNo=R26BK01631661&amp;bidPbancOrd=001</t>
  </si>
  <si>
    <t>2026년 대구 콘텐츠 스케일업 액셀러레이팅 프로그램 운영 용역</t>
  </si>
  <si>
    <t>https://www.g2b.go.kr/link/PNPE027_01/single/?bidPbancNo=R26BK01638742&amp;bidPbancOrd=000</t>
  </si>
  <si>
    <t>2026 그린 스케일업 프로그램 운영 용역</t>
  </si>
  <si>
    <t>https://www.g2b.go.kr/link/PNPE027_01/single/?bidPbancNo=R26BK01641086&amp;bidPbancOrd=000</t>
  </si>
  <si>
    <t>K-Camp 광주 7기 액셀러레이팅 프로그램 실시용역</t>
  </si>
  <si>
    <t>https://www.g2b.go.kr/link/PNPE027_01/single/?bidPbancNo=R26BK01308616&amp;bidPbancOrd=000</t>
  </si>
  <si>
    <t>전문인력·기타: 사업수행책임자(PM)는 창업 경험 또는 외부 프로그램 멘토·강사 경력이 있어야 하며, 실제 과업에 직접 참여하는 전문가 인력의 명단 및 경력·자격증 등 증빙자료를 제출하셔야 합니다.</t>
  </si>
  <si>
    <t>전문인력·기타: 사업수행책임자(PM)는 창업 경험 또는 외부 프로그램 멘토·강사 경력이 있어야 하며, 실제 과업에 직접 참여하는 전문가 인력의 경력 및 자격증 등 증빙자료를 제출하셔야 합니다.</t>
  </si>
  <si>
    <t>환경에너지연구조사서비스(8090902801)</t>
  </si>
  <si>
    <t>전문인력·기타: 입찰참가자격에는 전문인력 보유 조건이 명시되어 있지 않으나, 과업 수행에 다수의 전문인력이 참여하여야 한다고 안내되어 있어 전문적 인력의 참여가 요구됩니다.</t>
  </si>
  <si>
    <t>https://www.g2b.go.kr/link/PNPE027_01/single/?bidPbancNo=R26BK01360917&amp;bidPbancOrd=000</t>
  </si>
  <si>
    <t>2026년 상생 오픈이노베이션 운영</t>
  </si>
  <si>
    <t>(재)경기콘텐츠진흥원</t>
  </si>
  <si>
    <t>https://www.g2b.go.kr/link/PNPE027_01/single/?bidPbancNo=R26BK01363925&amp;bidPbancOrd=000</t>
  </si>
  <si>
    <t>2026 서울 관광·MICE 기업 전문역량 엑셀러레이팅 프로그램 운영 용역</t>
  </si>
  <si>
    <t>전문인력·기타: 입찰참가자격에는 별도의 전문 인력 보유 조건이 명시되어 있지 않으나, 제안서 평가 및 제출서류에 투입인력 경력실적, 참여인력 현황, 용역 총괄책임자(PM) 지정 등 인력 관련 요건이 포함되어 있으므로 전문 인력 요건이 요구됩니다.</t>
  </si>
  <si>
    <t>https://www.g2b.go.kr/link/PNPE027_01/single/?bidPbancNo=R26BK01368213&amp;bidPbancOrd=000</t>
  </si>
  <si>
    <t>콘텐츠기업 액셀러레이팅 프로그램 운영 용역</t>
  </si>
  <si>
    <t>재단법인 충북과학기술혁신원</t>
  </si>
  <si>
    <t>전문인력·기타: 입찰참가자는 실제 섭외 가능한 전문가 및 교육 커리큘럼을 제시하고, 투자능력을 보유한 전문가 POOL을 구성하여야 하므로 전문 인력 보유가 필수입니다.</t>
  </si>
  <si>
    <t>https://www.g2b.go.kr/link/PNPE027_01/single/?bidPbancNo=R26BK01369714&amp;bidPbancOrd=000</t>
  </si>
  <si>
    <t>「2026 대학 특화 청년창업 활성화 지원사업」   위탁 운영 용역 전자입찰 공고</t>
  </si>
  <si>
    <t>https://www.g2b.go.kr/link/PNPE027_01/single/?bidPbancNo=R26BK01381074&amp;bidPbancOrd=000</t>
  </si>
  <si>
    <t>2026 경기도 대학생 융합기술 창업지원 사업 액셀러레이팅 프로그램 운영 용역</t>
  </si>
  <si>
    <t>전문인력·기타: 입찰참가자격에 시각디자인 및 편집디자인 기술자격 또는 이에 준하는 경력자(3년 이상) 등 기술인력 보유가 필수로 요구되므로, 인력 제한이 있습니다.</t>
  </si>
  <si>
    <t>https://www.g2b.go.kr/link/PNPE027_01/single/?bidPbancNo=R26BK01399296&amp;bidPbancOrd=000</t>
  </si>
  <si>
    <t>2026 경남 관광기업 액셀러레이팅 프로그램 운영 용역</t>
  </si>
  <si>
    <t>재단법인 경상남도 관광재단</t>
  </si>
  <si>
    <t>알에이치테크</t>
  </si>
  <si>
    <t>학술.연구용역(1169); 기타자유업(행사대행업)(9901); 창업기획자(6883)</t>
  </si>
  <si>
    <t>전문인력·기타: 입찰 참가자격에는 관련 분야 자격 또는 경력 보유 인력 규모가 정량적 평가항목으로 명시되어 있어 전문 인력 보유가 필수입니다.</t>
  </si>
  <si>
    <t>https://www.g2b.go.kr/link/PNPE027_01/single/?bidPbancNo=R26BK01405855&amp;bidPbancOrd=000</t>
  </si>
  <si>
    <t>전문인력·기타: 입찰참가자격에 4대보험 가입 기준의 전문인력(이공계 박사, 변호사, 변리사, 의사/약사 등) 보유가 우대 조건으로 명시되어 있으며, 프로젝트 책임자는 스타트업 창업 관련 분야 경력 2년 이상이어야 합니다.</t>
  </si>
  <si>
    <t>전문인력·기타: 입찰 참가를 위해 중소벤처기업부에 등록된 민간액셀러레이터 또는 TIPS 운영사 자격이 필수로 요구되며, 해당 자격을 증명할 수 있는 등록증 또는 협약서 등 관련 서류를 제출해야 합니다.</t>
  </si>
  <si>
    <t>전문인력·기타: 입찰참가자는 제안서 제출 시 해당사업을 수행할 사업책임자를 명시하고, 사업책임자가 설명 및 질의응답을 해야 하며, 참여인력 현황 및 개인별 이력사항 제출이 요구됩니다.</t>
  </si>
  <si>
    <t>2026 차세대 부산 디자인 융합 산업육성 엑셀러레이팅 프로그램 운영 용역</t>
  </si>
  <si>
    <t>(재)부산디자인진흥원</t>
  </si>
  <si>
    <t>주식회사 스마트파머</t>
  </si>
  <si>
    <t>전문인력·기타: 입찰 참가자격에 참여인력 수행조직도 및 명부, 참여인력 이력사항 제출이 요구되며, 사업제안서 발표는 사업 참여 인력(서식10 작성 인력)에 한해 진행해야 하므로 전문 인력 요건이 있습니다.</t>
  </si>
  <si>
    <t>https://www.g2b.go.kr/link/PNPE027_01/single/?bidPbancNo=R26BK01419872&amp;bidPbancOrd=000</t>
  </si>
  <si>
    <t>2026년 상생 오픈이노베이션 운영(재입찰)</t>
  </si>
  <si>
    <t>https://www.g2b.go.kr/link/PNPE027_01/single/?bidPbancNo=R26BK01424472&amp;bidPbancOrd=000</t>
  </si>
  <si>
    <t>미디어·콘텐츠 스타트업 육성 프로그램 CRE-UP 2026 운영 용역</t>
  </si>
  <si>
    <t>브링크코리아 주식회사</t>
  </si>
  <si>
    <t>전문인력·기타: 사업관리자(PM)의 재직증명서와 4대 보험 가입 확인서를 최근 3개월 이내로 제출해야 하므로 전문 인력 보유가 필수입니다.</t>
  </si>
  <si>
    <t>https://www.g2b.go.kr/link/PNPE027_01/single/?bidPbancNo=R26BK01411408&amp;bidPbancOrd=000</t>
  </si>
  <si>
    <t>전문인력·기타: 총괄책임자 외 1명 이상의 전담인력(전담인력 중 창업(지원) 관련분야 경력 2년 이상 1명 이상 포함)과 현장·실무 경험을 보유한 멘토단 등 전문 인력 요건이 필수적으로 요구됩니다.</t>
  </si>
  <si>
    <t>주식회사 리벤처스</t>
  </si>
  <si>
    <t>전문인력·기타: 총괄책임자 외 1명 이상의 전담인력, 전담인력 중 창업(지원) 관련분야 경력 2년 이상인 자 1명 이상, 현장·실무 경험을 보유한 멘토단 등 전문 인력 요건이 필수적으로 요구됩니다.</t>
  </si>
  <si>
    <t>전문인력·기타: 총괄책임자 외 1명 이상의 전담인력(전담인력 중 창업(지원) 관련분야 경력 2년 이상 1명 이상 포함) 및 현장·실무 경험을 보유한 멘토단 등 전문 인력 요건이 필수적으로 요구됩니다.</t>
  </si>
  <si>
    <t>이화여자대학교기술지주 주식회사</t>
  </si>
  <si>
    <t>전문인력·기타: 총괄책임자 외 1명 이상의 전담인력, 전담인력 중 창업(지원) 관련분야 경력 2년 이상인 자 1명 이상, 전문분야 멘토단 확보 등 인력 요건이 필수적으로 요구됩니다.</t>
  </si>
  <si>
    <t>2026 글로벌 빅테크 협업 오픈이노베이션 운영 용역</t>
  </si>
  <si>
    <t>https://www.g2b.go.kr/link/PNPE027_01/single/?bidPbancNo=R26BK01432349&amp;bidPbancOrd=000</t>
  </si>
  <si>
    <t>2026년 인천콘텐츠코리아랩 교육 및 사업화 지원 프로그램 운영 용역</t>
  </si>
  <si>
    <t>컬쳐랩</t>
  </si>
  <si>
    <t>전문인력·기타: 입찰참가자격에는 각 교육별 교육인력, 상주 인력, 지원인력, 운영인력의 주요 경력 사항 명기가 요구되며, 효율적 교육-운영에 필요한 상주 투입 인력 계획 등 전문 인력 조건이 포함되어 있습니다.</t>
  </si>
  <si>
    <t>https://www.g2b.go.kr/link/PNPE027_01/single/?bidPbancNo=R26BK01443680&amp;bidPbancOrd=000</t>
  </si>
  <si>
    <t>[대학혁신지원사업] 제15회, 제16회 아랩 액셀러레이팅 프로그램 운영업체 선정</t>
  </si>
  <si>
    <t>인하대학교</t>
  </si>
  <si>
    <t>https://www.g2b.go.kr/link/PNPE027_01/single/?bidPbancNo=R26BK01454043&amp;bidPbancOrd=000</t>
  </si>
  <si>
    <t>기타자유업종(9999); 창업기획자(6883)</t>
  </si>
  <si>
    <t>주식회사 노틸러스인베스트먼트</t>
  </si>
  <si>
    <t>주식회사 비즈니움</t>
  </si>
  <si>
    <t>https://www.g2b.go.kr/link/PNPE027_01/single/?bidPbancNo=R26BK01472614&amp;bidPbancOrd=001</t>
  </si>
  <si>
    <t>전문인력·기타: 입찰참가자격으로 중소벤처기업부에 등록된 액셀러레이터(창업기획자) 또는 스케일업 TIPS 운영사 자격을 필수로 요구하고 있습니다.</t>
  </si>
  <si>
    <t>https://www.g2b.go.kr/link/PNPE027_01/single/?bidPbancNo=R26BK01478530&amp;bidPbancOrd=000</t>
  </si>
  <si>
    <t>기업 경영진단 및 투자유치 프로그램 운영 용역</t>
  </si>
  <si>
    <t>재단법인 포항테크노파크</t>
  </si>
  <si>
    <t>주식회사 포켓컴퍼니</t>
  </si>
  <si>
    <t>전문인력·기타: 입찰참가자격에 참여인력 이력서 및 고용보험(4대보험) 명부 제출이 요구되어, 참여인력 보유가 필수입니다.</t>
  </si>
  <si>
    <t>https://www.g2b.go.kr/link/PNPE027_01/single/?bidPbancNo=R26BK01490624&amp;bidPbancOrd=000</t>
  </si>
  <si>
    <t>전문인력·기타: 입찰참가자는 사업책임자를 반드시 지정하여야 하며, 사업책임자는 입찰공고일 전일부터 제안서 평가일까지 계속 재직 중이어야 하고, 제안서 설명 및 질의응답을 직접 수행해야 합니다.</t>
  </si>
  <si>
    <t>GICON 콘텐츠 스케일업 프로그램 운영</t>
  </si>
  <si>
    <t>창업기획자 (6883), 기타자유업(행사대행업)(9901)</t>
  </si>
  <si>
    <t>전문인력·기타: 사업관리 및 투입인력에 대해 경력과 전문성이 매우 중요하며, 실제 투입되는 직접 인력의 역할과 책임을 명확하게 제시해야 하므로 전문적 인력 조건이 요구됩니다.</t>
  </si>
  <si>
    <t>https://www.g2b.go.kr/link/PNPE027_01/single/?bidPbancNo=R26BK01503883&amp;bidPbancOrd=000</t>
  </si>
  <si>
    <t>2026 J-스타트업 육성 프로그램 운영</t>
  </si>
  <si>
    <t>제주관광공사</t>
  </si>
  <si>
    <t>그라운드업벤처스 주식회사</t>
  </si>
  <si>
    <t>전문인력·기타: 입찰 참가를 위해 과업수행 참여인력에 대한 경력 또는 자격사항을 제출해야 하므로 전문 인력에 대한 제한이 있습니다.</t>
  </si>
  <si>
    <t>https://www.g2b.go.kr/link/PNPE027_01/single/?bidPbancNo=R26BK01506630&amp;bidPbancOrd=000</t>
  </si>
  <si>
    <t>산업디자인전문회사(종합디자인분야)(4444); 대중문화예술기획업(6481); 기타자유업(행사대행업)(9901)</t>
  </si>
  <si>
    <t>전문인력·기타: 분야별 책임자 및 실제 과업현장에 직접투입 가능한 인력(참여율 30% 이상)과 주요 경력, 자격증, 경력증명서 등 전문 인력 보유 및 증빙이 필수적으로 요구됩니다.</t>
  </si>
  <si>
    <t>2026 한양대학교 RISE 사업 글로벌 산학협력 선도 「글로벌 액셀러레이팅 프로그램」(미국)</t>
  </si>
  <si>
    <t>주식회사 스파크랩</t>
  </si>
  <si>
    <t>전문인력·기타: 사업 수행 조직의 참여 인력의 적정성 및 전문성이 평가 항목에 포함되어 있으므로 전문적 인력 조건이 요구됩니다.</t>
  </si>
  <si>
    <t>https://www.g2b.go.kr/link/PNPE027_01/single/?bidPbancNo=R26BK01518586&amp;bidPbancOrd=000</t>
  </si>
  <si>
    <t>전문인력·기타: 사업 수행 조직의 참여 인력의 적정성 및 전문성이 평가 기준에 포함되어 전문적 인력 조건이 요구됩니다.</t>
  </si>
  <si>
    <t>2026 한양대학교 RISE 사업 글로벌 산학협력 선도 「글로벌 액셀러레이팅 프로그램」(유럽)</t>
  </si>
  <si>
    <t>(주)한국콤파스</t>
  </si>
  <si>
    <t>전문인력·기타: 사업 수행 조직의 참여 인력의 적정성 및 전문성(수준)이 평가 기준에 포함되어 전문적 인력 조건이 요구됩니다.</t>
  </si>
  <si>
    <t>https://www.g2b.go.kr/link/PNPE027_01/single/?bidPbancNo=R26BK01518604&amp;bidPbancOrd=000</t>
  </si>
  <si>
    <t>2026 캠퍼스타운 글로벌 오픈이노베이션 운영</t>
  </si>
  <si>
    <t>서울특별시 서울시립대학교 산학협력단</t>
  </si>
  <si>
    <t>사단법인 한국창업지도사협회</t>
  </si>
  <si>
    <t>https://www.g2b.go.kr/link/PNPE027_01/single/?bidPbancNo=R26BK01519564&amp;bidPbancOrd=000</t>
  </si>
  <si>
    <t>2026년 청년 창업·창직 지원사업(기술업종) 해외사업화 지원 프로그램 운영 용역</t>
  </si>
  <si>
    <t>https://www.g2b.go.kr/link/PNPE027_01/single/?bidPbancNo=R26BK01531863&amp;bidPbancOrd=000</t>
  </si>
  <si>
    <t>https://www.g2b.go.kr/link/PNPE027_01/single/?bidPbancNo=R26BK01544612&amp;bidPbancOrd=000</t>
  </si>
  <si>
    <t>https://www.g2b.go.kr/link/PNPE027_01/single/?bidPbancNo=R26BK01550223&amp;bidPbancOrd=000</t>
  </si>
  <si>
    <t>2026년 진주형 스타트업 액셀러레이팅 지원사업</t>
  </si>
  <si>
    <t>https://www.g2b.go.kr/link/PNPE027_01/single/?bidPbancNo=R26BK01564349&amp;bidPbancOrd=000</t>
  </si>
  <si>
    <t>전문인력·기타: 본 과업 수행 인력 중 공고일 기준 3개월 이상 제안업체에서 근무하고 있는 인큐베이팅/액셀러레이팅, 금융투자업 분야 경력자(3년 이상) 보유가 필수입니다.</t>
  </si>
  <si>
    <t>전문인력·기타: 입찰참가자격에 참여인력 현황 총괄표, 참여인력별 이력사항 및 증빙서류(경력증명서, 재직증명서, 4대보험 가입증명서 등) 제출이 요구되며, 제안서 발표는 소속회사에 재직 중인 사업 관리자(PM)가 직접 진행해야 하므로 전문 인력 보유가 필수입니다.</t>
  </si>
  <si>
    <t>2026년 국립순천대학교 글로컬 창업사관학교 액셀러레이팅 운영</t>
  </si>
  <si>
    <t>https://www.g2b.go.kr/link/PNPE027_01/single/?bidPbancNo=R26BK01578680&amp;bidPbancOrd=002</t>
  </si>
  <si>
    <t>(긴급) 2026 청주시 K-바이오 글로벌 액셀러레이팅 프로그램 운영 용역 사전규격</t>
  </si>
  <si>
    <t>https://www.g2b.go.kr/link/PNPE027_01/single/?bidPbancNo=R26BK01591767&amp;bidPbancOrd=001</t>
  </si>
  <si>
    <t>전문인력·기타: 참여인력 보유현황표 및 학위증명서류 제출이 요구되며, 전문 인력 보유가 입찰 참가자격에 포함되어 있습니다.</t>
  </si>
  <si>
    <t>2026년 진주형 스타트업 액셀러레이팅 지원사업(재공고)</t>
  </si>
  <si>
    <t>https://www.g2b.go.kr/link/PNPE027_01/single/?bidPbancNo=R26BK01588288&amp;bidPbancOrd=000</t>
  </si>
  <si>
    <t>전문인력·기타: 공고일 기준 중소벤처기업부 등록 창업기획자(액셀러레이터)로서 창업기획자(6883) 업종을 등록한 업체여야 합니다.</t>
  </si>
  <si>
    <t>https://www.g2b.go.kr/link/PNPE027_01/single/?bidPbancNo=R26BK01604572&amp;bidPbancOrd=000</t>
  </si>
  <si>
    <t>2026년 영산대학교 초기창업패키지 스타트업-대기업 동반성장 오픈이노베이션 운영 위탁 기관 선정 입찰</t>
  </si>
  <si>
    <t>영산대학교 산학협력단</t>
  </si>
  <si>
    <t>https://www.g2b.go.kr/link/PNPE027_01/single/?bidPbancNo=R26BK01610593&amp;bidPbancOrd=000</t>
  </si>
  <si>
    <t>[3-4] 2026년 기술기반 창업·스케일업 지원 액셀러레이팅 프로그램 운영</t>
  </si>
  <si>
    <t>https://www.g2b.go.kr/link/PNPE027_01/single/?bidPbancNo=R26BK01615019&amp;bidPbancOrd=000</t>
  </si>
  <si>
    <t>고양시 기업 액셀러레이팅 프로그램 NEXT ROUND 운영 용역</t>
  </si>
  <si>
    <t>고양산업진흥원</t>
  </si>
  <si>
    <t>전문인력·기타: 액셀러레이팅 분야 경험자 1인 및 보조 인력 1인 참여가 필수이며, 국내외 창업보육 프로그램 운영 경력과 피치덱 개선 지원 능력을 보유한 자가 필요합니다.</t>
  </si>
  <si>
    <t>https://www.g2b.go.kr/link/PNPE027_01/single/?bidPbancNo=R26BK01618993&amp;bidPbancOrd=000</t>
  </si>
  <si>
    <t>2025년 공고</t>
  </si>
  <si>
    <t>창업교육·캠프 · 65건</t>
  </si>
  <si>
    <t>로컬 비즈니스 창업캠프 운영 용역</t>
  </si>
  <si>
    <t>엔델라(ENDELA Co.)</t>
  </si>
  <si>
    <t>공고서 참조</t>
  </si>
  <si>
    <t>https://www.g2b.go.kr/link/PNPE027_01/single/?bidPbancNo=R25BK00554019&amp;bidPbancOrd=000</t>
  </si>
  <si>
    <t>2025년 태안청년창업비즈니스센터 창업교육 위탁 운영 용역</t>
  </si>
  <si>
    <t>충청남도 태안군</t>
  </si>
  <si>
    <t>주식회사 잡트렌드</t>
  </si>
  <si>
    <t>https://www.g2b.go.kr/link/PNPE027_01/single/?bidPbancNo=R25BK00590291&amp;bidPbancOrd=000</t>
  </si>
  <si>
    <t>예진컴퍼니</t>
  </si>
  <si>
    <t>주식회사 피지벤처스</t>
  </si>
  <si>
    <t>독일마을 관광창업 아카데미 운영</t>
  </si>
  <si>
    <t>https://www.g2b.go.kr/link/PNPE027_01/single/?bidPbancNo=R25BK00607025&amp;bidPbancOrd=000</t>
  </si>
  <si>
    <t>https://www.g2b.go.kr/link/PNPE027_01/single/?bidPbancNo=R25BK00619212&amp;bidPbancOrd=000</t>
  </si>
  <si>
    <t>드리머스 사회적협동조합</t>
  </si>
  <si>
    <t>사회적협동조합 멘토리</t>
  </si>
  <si>
    <t>제한 있음 (경상북도)</t>
  </si>
  <si>
    <t>2025년 춘천 원도심 창업교육·인큐베이팅·창업공간 조성 용역</t>
  </si>
  <si>
    <t>학술.연구용역 (1169), 창업기획자 (6883), 기타자유업종(9999)</t>
  </si>
  <si>
    <t>전문인력·기타: 발표자는 사업책임자(PM)로서 공고일 당시 재직 중이어야 하며, 재직증명서 또는 4대보험 증빙서류를 제출해야 합니다.</t>
  </si>
  <si>
    <t>https://www.g2b.go.kr/link/PNPE027_01/single/?bidPbancNo=R25BK00737346&amp;bidPbancOrd=000</t>
  </si>
  <si>
    <t>2025 부산관광스타트업 아카데미 운영</t>
  </si>
  <si>
    <t>https://www.g2b.go.kr/link/PNPE027_01/single/?bidPbancNo=R25BK00749199&amp;bidPbancOrd=000</t>
  </si>
  <si>
    <t>2025년 창업중심대학 혁신창업스쿨(창업학기제) 운영 용역</t>
  </si>
  <si>
    <t>대구대학교 산학협력단</t>
  </si>
  <si>
    <t>최저가낙찰제</t>
  </si>
  <si>
    <t>https://www.g2b.go.kr/link/PNPE027_01/single/?bidPbancNo=R25BK00749827&amp;bidPbancOrd=000</t>
  </si>
  <si>
    <t>주식회사 마계인천</t>
  </si>
  <si>
    <t>전문인력·기타: 제안서 발표는 용역책임자(PM)가 직접 수행해야 합니다.</t>
  </si>
  <si>
    <t>https://www.g2b.go.kr/link/PNPE027_01/single/?bidPbancNo=R25BK00755594&amp;bidPbancOrd=000</t>
  </si>
  <si>
    <t>(사)한국능률협회</t>
  </si>
  <si>
    <t>https://www.g2b.go.kr/link/PNPE027_01/single/?bidPbancNo=R25BK00759579&amp;bidPbancOrd=000</t>
  </si>
  <si>
    <t>학술.연구용역(1169); 기타자유업종(9999)</t>
  </si>
  <si>
    <t>전문인력·기타: 사업 수행에 필요한 전문 인력 및 시설을 보유해야 합니다.</t>
  </si>
  <si>
    <t>https://www.g2b.go.kr/link/PNPE027_01/single/?bidPbancNo=R25BK00774903&amp;bidPbancOrd=000</t>
  </si>
  <si>
    <t>2025년 경기 스타트업 아카데미 딥테크 교육운영 용역</t>
  </si>
  <si>
    <t>주식회사 에이블런</t>
  </si>
  <si>
    <t>https://www.g2b.go.kr/link/PNPE027_01/single/?bidPbancNo=R25BK00786937&amp;bidPbancOrd=000</t>
  </si>
  <si>
    <t>2025년도 캠퍼스타운사업 숍인숍 뷰티 창업 교육 프로그램 운영</t>
  </si>
  <si>
    <t>덕성여자대학교</t>
  </si>
  <si>
    <t>https://www.g2b.go.kr/link/PNPE027_01/single/?bidPbancNo=R25BK00800992&amp;bidPbancOrd=000</t>
  </si>
  <si>
    <t>2025 학생 창업유망팀 300+ 도약트랙(일반) 교육 운영 용역</t>
  </si>
  <si>
    <t>https://www.g2b.go.kr/link/PNPE027_01/single/?bidPbancNo=R25BK00810679&amp;bidPbancOrd=000</t>
  </si>
  <si>
    <t>2025 지역 고교인재 비즈쿨 프로젝트 혁신창업스쿨 기획 및 운영 용역</t>
  </si>
  <si>
    <t>https://www.g2b.go.kr/link/PNPE027_01/single/?bidPbancNo=R25BK00815199&amp;bidPbancOrd=000</t>
  </si>
  <si>
    <t>2025 교육발전특구 디지털영상캠퍼스 창업교육  프로그램 운영 위탁 용역</t>
  </si>
  <si>
    <t>경기도교육청 경기도고양교육지원청</t>
  </si>
  <si>
    <t>https://www.g2b.go.kr/link/PNPE027_01/single/?bidPbancNo=R25BK00815266&amp;bidPbancOrd=000</t>
  </si>
  <si>
    <t>https://www.g2b.go.kr/link/PNPE027_01/single/?bidPbancNo=R25BK00819545&amp;bidPbancOrd=000</t>
  </si>
  <si>
    <t>광운대학교 캠퍼스타운사업단 KW-창업스쿨 용역</t>
  </si>
  <si>
    <t>광운대학교 산학협력단</t>
  </si>
  <si>
    <t>제한적최저가(낙찰하한율)</t>
  </si>
  <si>
    <t>전문인력·기타: 투자 멘토링을 위한 외부 전문 투자 심사역 인력풀 30명 이상과 창업지원사업 관련 경력 10년 이상 구성원을 보유해야 합니다.</t>
  </si>
  <si>
    <t>https://www.g2b.go.kr/link/PNPE027_01/single/?bidPbancNo=R25BK00821464&amp;bidPbancOrd=001</t>
  </si>
  <si>
    <t>전문인력·기타: 창업지원사업 관련 경력 10년 이상 경력 구성원을 보유해야 하며, 투자 멘토링을 위한 외부 전문 투자 심사역 인력풀 30명 이상을 확보해야 합니다.</t>
  </si>
  <si>
    <t>https://www.g2b.go.kr/link/PNPE027_01/single/?bidPbancNo=R25BK00833712&amp;bidPbancOrd=000</t>
  </si>
  <si>
    <t>로컬크리에이터 양성 2기 용역(보은을 담고 보은을 전하는 Local Catcher 양성과정)</t>
  </si>
  <si>
    <t>(사)지속가능공동체연구소 이음</t>
  </si>
  <si>
    <t>https://www.g2b.go.kr/link/PNPE027_01/single/?bidPbancNo=R25BK00832788&amp;bidPbancOrd=000</t>
  </si>
  <si>
    <t>[창업지원단]2025년 창업중심대학 창업동아리 역량 강화 캠프 운영 용역</t>
  </si>
  <si>
    <t>https://www.g2b.go.kr/link/PNPE027_01/single/?bidPbancNo=R25BK00804545&amp;bidPbancOrd=001</t>
  </si>
  <si>
    <t>2025 경남콘텐츠코리아랩 「콘텐츠 창작캠프 및 창업동아리 피칭 프로그램」운영 용역</t>
  </si>
  <si>
    <t>재단법인경남문화예술진흥원</t>
  </si>
  <si>
    <t>주식회사 미네르바에듀</t>
  </si>
  <si>
    <t>전문인력·기타: 전문인력 보유현황에 따라 평가 점수가 부여됩니다.</t>
  </si>
  <si>
    <t>https://www.g2b.go.kr/link/PNPE027_01/single/?bidPbancNo=R25BK00861880&amp;bidPbancOrd=000</t>
  </si>
  <si>
    <t>2025년 경기 스타트업 아카데미 온라인 마케팅 역량강화 교육운영 용역</t>
  </si>
  <si>
    <t>주식회사 비긴메이트</t>
  </si>
  <si>
    <t>https://www.g2b.go.kr/link/PNPE027_01/single/?bidPbancNo=R25BK00865964&amp;bidPbancOrd=000</t>
  </si>
  <si>
    <t>2025 청주공예창작지원센터 창업교육 운영 용역</t>
  </si>
  <si>
    <t>(재)청주시문화산업진흥재단</t>
  </si>
  <si>
    <t>https://www.g2b.go.kr/link/PNPE027_01/single/?bidPbancNo=R25BK00899112&amp;bidPbancOrd=000</t>
  </si>
  <si>
    <t>[캠퍼스타운사업] 건국대학교 KU 창업스쿨: 바이오(푸드) 창업 실무 프로그램 위탁 용역</t>
  </si>
  <si>
    <t>https://www.g2b.go.kr/link/PNPE027_01/single/?bidPbancNo=R25BK00916248&amp;bidPbancOrd=000</t>
  </si>
  <si>
    <t>창업 아카데미 프로그램 지원 용역</t>
  </si>
  <si>
    <t>고려대학교 산학협력단</t>
  </si>
  <si>
    <t>주식회사 스텔업</t>
  </si>
  <si>
    <t>https://www.g2b.go.kr/link/PNPE027_01/single/?bidPbancNo=R25BK00915422&amp;bidPbancOrd=000</t>
  </si>
  <si>
    <t>2025 학생 창업유망팀 300+ 성장트랙(A) 교육 운영 용역</t>
  </si>
  <si>
    <t>https://www.g2b.go.kr/link/PNPE027_01/single/?bidPbancNo=R25BK00955963&amp;bidPbancOrd=000</t>
  </si>
  <si>
    <t>2025 학생 창업유망팀 300+ 성장트랙(B) 교육 운영 용역</t>
  </si>
  <si>
    <t>https://www.g2b.go.kr/link/PNPE027_01/single/?bidPbancNo=R25BK00955969&amp;bidPbancOrd=000</t>
  </si>
  <si>
    <t>주식회사 제이온</t>
  </si>
  <si>
    <t>2025 연합 실험실창업캠프</t>
  </si>
  <si>
    <t>성균관대학교</t>
  </si>
  <si>
    <t>주식회사 하이브워크</t>
  </si>
  <si>
    <t>https://www.g2b.go.kr/link/PNPE027_01/single/?bidPbancNo=R25BK00972784&amp;bidPbancOrd=000</t>
  </si>
  <si>
    <t>(재공고)2025 학생 창업유망팀 300+ 성장트랙(A) 교육 운영 용역</t>
  </si>
  <si>
    <t>https://www.g2b.go.kr/link/PNPE027_01/single/?bidPbancNo=R25BK00979913&amp;bidPbancOrd=000</t>
  </si>
  <si>
    <t>창업기획자(6883); 기타자유업종(9999)</t>
  </si>
  <si>
    <t>전문인력·기타: 사업수행 조직 및 참여인력 현황, 참여인력 이력사항을 요구하고 있습니다.</t>
  </si>
  <si>
    <t>2025년 GIST 기술기반 창업교육 지원</t>
  </si>
  <si>
    <t>주식회사 슘페터</t>
  </si>
  <si>
    <t>소프트웨어사업자(패키지소프트웨어개발.공급사업)(1426); 소프트웨어사업자(컴퓨터관련서비스사업)(1468); 소프트웨어사업자(디지털콘텐츠개발서비스사업)(1469); 소프트웨어사업자(데이터베이스제작및검색서비스사업)(1470)</t>
  </si>
  <si>
    <t>https://www.g2b.go.kr/link/PNPE027_01/single/?bidPbancNo=R25BK01034639&amp;bidPbancOrd=000</t>
  </si>
  <si>
    <t>2025학년도 영진전문대학교 RISE사업 지역산업 연계 취창업 캠프 위탁 용역</t>
  </si>
  <si>
    <t>영진전문대학교 산학협력단</t>
  </si>
  <si>
    <t>에스컨설팅</t>
  </si>
  <si>
    <t>https://www.g2b.go.kr/link/PNPE027_01/single/?bidPbancNo=R25BK01089109&amp;bidPbancOrd=000</t>
  </si>
  <si>
    <t>2025년 동문동 도시재생 창업 교육프로그램 운영 용역</t>
  </si>
  <si>
    <t>주식회사 나웅테크</t>
  </si>
  <si>
    <t>https://www.g2b.go.kr/link/PNPE027_01/single/?bidPbancNo=R25BK01090959&amp;bidPbancOrd=000</t>
  </si>
  <si>
    <t>[창업지원단]2025 대구·경북 Start-UP 창업캠프 운영 용역</t>
  </si>
  <si>
    <t>https://www.g2b.go.kr/link/PNPE027_01/single/?bidPbancNo=R25BK01092262&amp;bidPbancOrd=000</t>
  </si>
  <si>
    <t>(전문대학혁신지원사업)2025학년도 창업캠프&amp;창업동아리 멘토링 프로그램</t>
  </si>
  <si>
    <t>대전과학기술대학교 산학협력단</t>
  </si>
  <si>
    <t>https://www.g2b.go.kr/link/PNPE027_01/single/?bidPbancNo=R25BK01098698&amp;bidPbancOrd=000</t>
  </si>
  <si>
    <t>강동대학교 RISE 연합 창업캠프 위탁 운영 사업자 선정 입찰 공고</t>
  </si>
  <si>
    <t>강동대학교</t>
  </si>
  <si>
    <t>https://www.g2b.go.kr/link/PNPE027_01/single/?bidPbancNo=R25BK01098923&amp;bidPbancOrd=000</t>
  </si>
  <si>
    <t>https://www.g2b.go.kr/link/PNPE027_01/single/?bidPbancNo=R25BK01116579&amp;bidPbancOrd=000</t>
  </si>
  <si>
    <t>2025 KDB 창업교육 프로그램 성과공유회 운영 용역</t>
  </si>
  <si>
    <t>https://www.g2b.go.kr/link/PNPE027_01/single/?bidPbancNo=R25BK01114772&amp;bidPbancOrd=000</t>
  </si>
  <si>
    <t>2025학년도 창업교육프로그램 운영 용역</t>
  </si>
  <si>
    <t>https://www.g2b.go.kr/link/PNPE027_01/single/?bidPbancNo=R25BK01113690&amp;bidPbancOrd=001</t>
  </si>
  <si>
    <t>2025학년도 경일관광경영고등학교 AI세무회계과 진로탐험캠프, AI스타트업과 창업캠프 위탁용역</t>
  </si>
  <si>
    <t>경기도교육청 경일관광경영고등학교</t>
  </si>
  <si>
    <t>주식회사 삼호티앤씨</t>
  </si>
  <si>
    <t>종합여행업(1261); 국내여행업(1263); 국내외여행업(1262)</t>
  </si>
  <si>
    <t>https://www.g2b.go.kr/link/PNPE027_01/single/?bidPbancNo=R25BK01124815&amp;bidPbancOrd=000</t>
  </si>
  <si>
    <t>전문인력·기타: 참여인력 명부와 이력사항을 제출해야 하며, 투입인력 현황에 기재된 모든 인력에 대한 개인정보 수집·이용 동의서가 요구됩니다.</t>
  </si>
  <si>
    <t>(국고-RISE 2-3사업) 2025년 창업캠프 및 아이디어 공모 프로그램 외부 위탁업체 선정 입찰</t>
  </si>
  <si>
    <t>전문인력·기타: 보유 인력 평가 기준에 따라 행사 인력 보유 현황이 요구되며, 최소 1인 이상의 보유 인력이 필요합니다.</t>
  </si>
  <si>
    <t>https://www.g2b.go.kr/link/PNPE027_01/single/?bidPbancNo=R25BK01153422&amp;bidPbancOrd=000</t>
  </si>
  <si>
    <t>전문인력·기타: 과업 수행 조직도 및 인력 구성을 제안서에 명시해야 하며, 전문 인력 조건이 요구됩니다.</t>
  </si>
  <si>
    <t>대구한의대학교 글로컬30대학 [K-MEDI 창업사관학교(2기)」운영 및 교육 용역</t>
  </si>
  <si>
    <t>전문인력·기타: 참여인력의 전문성과 투입인력 규모의 적정성이 평가 항목에 포함되어 있어 전문 인력 조건이 요구됩니다.</t>
  </si>
  <si>
    <t>https://www.g2b.go.kr/link/PNPE027_01/single/?bidPbancNo=R25BK01172807&amp;bidPbancOrd=000</t>
  </si>
  <si>
    <t>충북대학교 창업중심대학 Level-Up 창업캠프 운영</t>
  </si>
  <si>
    <t>충북대학교 창업지원단</t>
  </si>
  <si>
    <t>https://www.g2b.go.kr/link/PNPE027_01/single/?bidPbancNo=R25BK01159302&amp;bidPbancOrd=000</t>
  </si>
  <si>
    <t>2025년 융합형 창업동아리(창업클럽) 글로벌 창업캠프 운영</t>
  </si>
  <si>
    <t>인덕대학</t>
  </si>
  <si>
    <t>https://www.g2b.go.kr/link/PNPE027_01/single/?bidPbancNo=R25BK01180030&amp;bidPbancOrd=000</t>
  </si>
  <si>
    <t>[혁신/미래차] 2025학년도 글로벌 모빌리티 창업교육 프로그램 운영을 위한 용역</t>
  </si>
  <si>
    <t>계명대학교 산학협력단</t>
  </si>
  <si>
    <t>국내외여행업(1262); 종합여행업(1261)</t>
  </si>
  <si>
    <t>https://www.g2b.go.kr/link/PNPE027_01/single/?bidPbancNo=R25BK01183069&amp;bidPbancOrd=000</t>
  </si>
  <si>
    <t>2025년 초고도 창업 교육과정 개발 운영</t>
  </si>
  <si>
    <t>https://www.g2b.go.kr/link/PNPE027_01/single/?bidPbancNo=R25BK01199448&amp;bidPbancOrd=000</t>
  </si>
  <si>
    <t>전시회기획및대행서비스 (8014198801), 기타행사기획및대행서비스(8014199001)</t>
  </si>
  <si>
    <t>전문인력·기타: 사업책임자(PM)는 국외 연수 운영 및 유사 사업 PM 경험 3년 이상의 관리자로, 외주 용역 인력이 아닌 주관사업자의 기술자로 임명되어야 합니다.</t>
  </si>
  <si>
    <t>https://www.g2b.go.kr/link/PNPE027_01/single/?bidPbancNo=R25BK01211990&amp;bidPbancOrd=000</t>
  </si>
  <si>
    <t>(수의시담)2025년 초고도 창업 교육과정 개발 운영</t>
  </si>
  <si>
    <t>주식회사 콘팝</t>
  </si>
  <si>
    <t>https://www.g2b.go.kr/link/PNPE027_01/single/?bidPbancNo=R25BK01236649&amp;bidPbancOrd=000</t>
  </si>
  <si>
    <t>우수창업동아리 선진국 벤치마킹 프로그램 운영</t>
  </si>
  <si>
    <t>제주대학교 산학협력단</t>
  </si>
  <si>
    <t>(주)지유투어</t>
  </si>
  <si>
    <t>전문인력·기타: 과업 수행조직 및 참여 인력 총괄표를 제출해야 하며, 참여 인력에 대한 명확한 구성과 역할이 요구됩니다.</t>
  </si>
  <si>
    <t>https://www.g2b.go.kr/link/PNPE027_01/single/?bidPbancNo=R25BK01250209&amp;bidPbancOrd=000</t>
  </si>
  <si>
    <t>창업경진대회·IR 행사 · 33건</t>
  </si>
  <si>
    <t>제26회 여성창업경진대회 사전홍보 및 교육 용역</t>
  </si>
  <si>
    <t>https://www.g2b.go.kr/link/PNPE027_01/single/?bidPbancNo=R25BK00624964&amp;bidPbancOrd=000</t>
  </si>
  <si>
    <t>전문인력·기타: 사업 책임자(PM)는 반드시 참여인력 현황표상의 총괄 책임자(상근직원)이어야 하며, 제안서 설명 시 직접 발표해야 합니다.</t>
  </si>
  <si>
    <t>2025년 청년창업사관학교 창업출정식 행사 운영용역</t>
  </si>
  <si>
    <t>전문인력·기타: 사업관리자(PM)의 재직증명서와 4대보험 가입증명자료가 요구되므로 전문적 인력 조건이 있습니다.</t>
  </si>
  <si>
    <t>https://www.g2b.go.kr/link/PNPE027_01/single/?bidPbancNo=R25BK00717079&amp;bidPbancOrd=000</t>
  </si>
  <si>
    <t>2025년 GovTech 창업경진대회 운영 용역</t>
  </si>
  <si>
    <t>(주)윕스</t>
  </si>
  <si>
    <t>https://www.g2b.go.kr/link/PNPE027_01/single/?bidPbancNo=R25BK00725119&amp;bidPbancOrd=000</t>
  </si>
  <si>
    <t>제26회 여성창업경진대회 시상식 및 네트워킹 용역 입찰공고</t>
  </si>
  <si>
    <t>https://www.g2b.go.kr/link/PNPE027_01/single/?bidPbancNo=R25BK00768681&amp;bidPbancOrd=000</t>
  </si>
  <si>
    <t>2025년 대구광역시 공공데이터 활용 창업경진대회 운영 용역</t>
  </si>
  <si>
    <t>https://www.g2b.go.kr/link/PNPE027_01/single/?bidPbancNo=R25BK00803501&amp;bidPbancOrd=000</t>
  </si>
  <si>
    <t>제13회 범정부 공공데이터 활용 창업경진대회 운영</t>
  </si>
  <si>
    <t>에스와이피어소시에이츠 주식회사</t>
  </si>
  <si>
    <t>전문인력·기타: 제안서 발표는 지정된 사업관리자(PM)가 수행해야 하며, 사업관리자를 제안서에 명기해야 합니다.</t>
  </si>
  <si>
    <t>https://www.g2b.go.kr/link/PNPE027_01/single/?bidPbancNo=R25BK00822474&amp;bidPbancOrd=000</t>
  </si>
  <si>
    <t>2025 학생 창업유망팀 300+ 경진대회 지원 및 행사 운영 용역</t>
  </si>
  <si>
    <t>https://www.g2b.go.kr/link/PNPE027_01/single/?bidPbancNo=R25BK00827161&amp;bidPbancOrd=000</t>
  </si>
  <si>
    <t>2025학년도 SW마이스터고 연합아이디어톤 운영 위탁용역</t>
  </si>
  <si>
    <t>광주광역시교육청 광주소프트웨어마이스터고등학교</t>
  </si>
  <si>
    <t>(주)라인교육개발</t>
  </si>
  <si>
    <t>https://www.g2b.go.kr/link/PNPE027_01/single/?bidPbancNo=R25BK00849992&amp;bidPbancOrd=000</t>
  </si>
  <si>
    <t>2025 안산 스타트업 청년창업 경진대회 행사 용역</t>
  </si>
  <si>
    <t>경기도 안산시</t>
  </si>
  <si>
    <t>수컴퍼니</t>
  </si>
  <si>
    <t>https://www.g2b.go.kr/link/PNPE027_01/single/?bidPbancNo=R25BK00875311&amp;bidPbancOrd=000</t>
  </si>
  <si>
    <t>2025년 화성시 소셜벤처 창업 아이디어 경진대회 행사대행 용역</t>
  </si>
  <si>
    <t>주식회사 한국기술원</t>
  </si>
  <si>
    <t>https://www.g2b.go.kr/link/PNPE027_01/single/?bidPbancNo=R25BK00876729&amp;bidPbancOrd=000</t>
  </si>
  <si>
    <t>2025년 한-아세안 AI 개발 창업 경진대회 개최·운영 대행 용역</t>
  </si>
  <si>
    <t>(주)스타트라인엔터테인먼트</t>
  </si>
  <si>
    <t>https://www.g2b.go.kr/link/PNPE027_01/single/?bidPbancNo=R25BK00879901&amp;bidPbancOrd=000</t>
  </si>
  <si>
    <t>글로벌 인·아웃바운드 허브 홍보 및 창업경진대회</t>
  </si>
  <si>
    <t>https://www.g2b.go.kr/link/PNPE027_01/single/?bidPbancNo=R25BK00889265&amp;bidPbancOrd=000</t>
  </si>
  <si>
    <t>2025 울산 관광 창업 아카데미 및 아이디어톤 운영 용역</t>
  </si>
  <si>
    <t>재단법인울산문화관광재단</t>
  </si>
  <si>
    <t>에스이메이커스(주)</t>
  </si>
  <si>
    <t>학술.연구용역(1169); 기타자유업(행사대행업)(9901)</t>
  </si>
  <si>
    <t>제한 있음 (울산광역시)</t>
  </si>
  <si>
    <t>https://www.g2b.go.kr/link/PNPE027_01/single/?bidPbancNo=R25BK00888973&amp;bidPbancOrd=000</t>
  </si>
  <si>
    <t>2025년 창업 아이디어 경진대회 운영 용역</t>
  </si>
  <si>
    <t>주식회사 지역재생연구소</t>
  </si>
  <si>
    <t>https://www.g2b.go.kr/link/PNPE027_01/single/?bidPbancNo=R25BK00895061&amp;bidPbancOrd=000</t>
  </si>
  <si>
    <t>[48982][48998]제15회 창업경진대회 운영 용역</t>
  </si>
  <si>
    <t>포항공과대학교</t>
  </si>
  <si>
    <t>https://www.g2b.go.kr/link/PNPE027_01/single/?bidPbancNo=R25BK00982960&amp;bidPbancOrd=000</t>
  </si>
  <si>
    <t>2025 신기술융합콘텐츠 스타트업 데모데이 및 성과확산 위탁용역</t>
  </si>
  <si>
    <t>주식회사 그렇게하자</t>
  </si>
  <si>
    <t>https://www.g2b.go.kr/link/PNPE027_01/single/?bidPbancNo=R25BK00994601&amp;bidPbancOrd=000</t>
  </si>
  <si>
    <t>[산단]2025년 AI 창업 경진대회 용역</t>
  </si>
  <si>
    <t>영남대학교 산학협력단</t>
  </si>
  <si>
    <t>학술.연구용역(1169); 기타자유업(행사대행업)(9901); 기타자유업종(9999)</t>
  </si>
  <si>
    <t>https://www.g2b.go.kr/link/PNPE027_01/single/?bidPbancNo=R25BK01065777&amp;bidPbancOrd=000</t>
  </si>
  <si>
    <t>2025년 서울창업허브 공덕 데모데이 운영 용역</t>
  </si>
  <si>
    <t>에이비프로 주식회사</t>
  </si>
  <si>
    <t>회의기획및대행서비스 (8014190201), 전시회기획및대행서비스 (8014198801), 기타행사기획및대행서비스(8014199001)</t>
  </si>
  <si>
    <t>https://www.g2b.go.kr/link/PNPE027_01/single/?bidPbancNo=R25BK01077126&amp;bidPbancOrd=000</t>
  </si>
  <si>
    <t>2025년도 글로벌 컨퍼런스 및 창업 경진대회 X 글로벌 미디어 아트전 운영 용역</t>
  </si>
  <si>
    <t>https://www.g2b.go.kr/link/PNPE027_01/single/?bidPbancNo=R25BK01099677&amp;bidPbancOrd=000</t>
  </si>
  <si>
    <t>https://www.g2b.go.kr/link/PNPE027_01/single/?bidPbancNo=R25BK01099649&amp;bidPbancOrd=001</t>
  </si>
  <si>
    <t>https://www.g2b.go.kr/link/PNPE027_01/single/?bidPbancNo=R25BK01101075&amp;bidPbancOrd=000</t>
  </si>
  <si>
    <t>콘텐츠 기업 IR 데모데이 운영</t>
  </si>
  <si>
    <t>주식회사 하늘기업</t>
  </si>
  <si>
    <t>https://www.g2b.go.kr/link/PNPE027_01/single/?bidPbancNo=R25BK01130968&amp;bidPbancOrd=000</t>
  </si>
  <si>
    <t>[RISE사업단] [긴급] 로컬 창업동아리 대학 연합 경진대회</t>
  </si>
  <si>
    <t>주식회사 메이티브</t>
  </si>
  <si>
    <t>https://www.g2b.go.kr/link/PNPE027_01/single/?bidPbancNo=R25BK01189331&amp;bidPbancOrd=000</t>
  </si>
  <si>
    <t>[RISE사업] WAVE 기술창업 IR데모데이 운영 용역</t>
  </si>
  <si>
    <t>스페이스제이</t>
  </si>
  <si>
    <t>전문인력·기타: 사업책임자(PM)는 국내외 창업캠프 운영 및 유사 사업 PM 경험 3년 이상의 관리자로, 외주 용역 인력이 아닌 주관사업자의 기술자로 임명되어야 합니다.</t>
  </si>
  <si>
    <t>https://www.g2b.go.kr/link/PNPE027_01/single/?bidPbancNo=R25BK01209440&amp;bidPbancOrd=000</t>
  </si>
  <si>
    <t>(주)위즈엘</t>
  </si>
  <si>
    <t>전문인력·기타: 본 사업 전담팀 구성 및 운영, 멘토진, 콘텐츠 개발, 시스템 관리 전담 인력 등 전문 인력을 구성해야 합니다.</t>
  </si>
  <si>
    <t>글로벌 창업교육 및 경진대회</t>
  </si>
  <si>
    <t>다이브404(DIVE404)</t>
  </si>
  <si>
    <t>https://www.g2b.go.kr/link/PNPE027_01/single/?bidPbancNo=R25BK01238235&amp;bidPbancOrd=000</t>
  </si>
  <si>
    <t>창업보육·액셀러레이팅 · 77건</t>
  </si>
  <si>
    <t>학술.연구용역(1169); 창업기획자(6883)</t>
  </si>
  <si>
    <t>2025 부산콘텐츠기업지원센터  콘텐츠기업 엑셀러레이팅 프로그램 운영 용역</t>
  </si>
  <si>
    <t>https://www.g2b.go.kr/link/PNPE027_01/single/?bidPbancNo=R25BK00656813&amp;bidPbancOrd=000</t>
  </si>
  <si>
    <t>2025 원주시 중앙동 여성창업지원 프로그램 운영 대행 용역</t>
  </si>
  <si>
    <t>도시재생현장지원센터</t>
  </si>
  <si>
    <t>공고서참조</t>
  </si>
  <si>
    <t>전문인력·기타: 참여 인력의 이력사항을 제출해야 합니다.</t>
  </si>
  <si>
    <t>https://www.g2b.go.kr/link/PNPE027_01/single/?bidPbancNo=R25BK00677072&amp;bidPbancOrd=000&amp;prcmBsneSeCd=09&amp;pbancType=pbanc</t>
  </si>
  <si>
    <t>https://www.g2b.go.kr/link/PNPE027_01/single/?bidPbancNo=R25BK00687769&amp;bidPbancOrd=000</t>
  </si>
  <si>
    <t>전문인력·기타: 창업교육, 경영컨설팅, 투자유치를 위한 지원 역량을 갖춘 액셀러레이팅 전문기관으로서 중소벤처기업부에 등록된 창업기획자(액셀러레이터) 자격이 요구됩니다.</t>
  </si>
  <si>
    <t>제한 있음 (인천광역시)</t>
  </si>
  <si>
    <t>2025년 상생 오픈이노베이션 운영</t>
  </si>
  <si>
    <t>https://www.g2b.go.kr/link/PNPE027_01/single/?bidPbancNo=R25BK00717494&amp;bidPbancOrd=000</t>
  </si>
  <si>
    <t>2025년 지능형 헬스케어 기업 글로벌 시장 진출 엑셀러레이팅 프로그램 개발 및 교육 용역</t>
  </si>
  <si>
    <t>창업기획자(6883); 중소기업창업투자회사(4420)</t>
  </si>
  <si>
    <t>전문인력·기타: 참여 인력이 글로벌 진출을 위한 IP 컨설팅, R&amp;D기획, 인증 및 투자에 대한 자격증 및 경력을 보유하고 있어야 하며, 경력 5년 이상의 사내 변리사 2인을 보유해야 합니다.</t>
  </si>
  <si>
    <t>https://www.g2b.go.kr/link/PNPE027_01/single/?bidPbancNo=R25BK00726320&amp;bidPbancOrd=000</t>
  </si>
  <si>
    <t>2025년 인천콘텐츠코리아랩 교육 및 사업화 지원 프로그램 운영 용역</t>
  </si>
  <si>
    <t>주식회사 웨이드</t>
  </si>
  <si>
    <t>https://www.g2b.go.kr/link/PNPE027_01/single/?bidPbancNo=R25BK00739620&amp;bidPbancOrd=000</t>
  </si>
  <si>
    <t>맥스컨설팅 주식회사</t>
  </si>
  <si>
    <t>https://www.g2b.go.kr/link/PNPE027_01/single/?bidPbancNo=R25BK00736083&amp;bidPbancOrd=003</t>
  </si>
  <si>
    <t>시너지아이비투자 주식회사</t>
  </si>
  <si>
    <t>전문인력·기타: PM 및 참여인력의 이력사항과 핵심개발인력 현황이 요구됩니다.</t>
  </si>
  <si>
    <t>전문인력·기타: 참여 인력이 글로벌 진출을 위한 IP 컨설팅, R&amp;D기획, 인증 및 투자에 대해 자격증 및 경력을 보유하고 있어야 하며, 경력 5년 이상의 자격을 가진 사내 변리사 2인을 보유해야 합니다.</t>
  </si>
  <si>
    <t>https://www.g2b.go.kr/link/PNPE027_01/single/?bidPbancNo=R25BK00763917&amp;bidPbancOrd=000</t>
  </si>
  <si>
    <t>2025 충남 천안 그린스타트업타운 스타트업 스케일업 프로그램 운영</t>
  </si>
  <si>
    <t>제이비벤처스 주식회사</t>
  </si>
  <si>
    <t>https://www.g2b.go.kr/link/PNPE027_01/single/?bidPbancNo=R25BK00765098&amp;bidPbancOrd=000</t>
  </si>
  <si>
    <t>바이오 스타트업 지원을 위한 액셀러레이팅 프로그램 운영 용역</t>
  </si>
  <si>
    <t>전문인력·기타: 스타트업 창업 관련 분야 경력 2년 이상 경험자의 프로젝트 책임자 참여가 요구됩니다.</t>
  </si>
  <si>
    <t>https://www.g2b.go.kr/link/PNPE027_01/single/?bidPbancNo=R25BK00784470&amp;bidPbancOrd=000</t>
  </si>
  <si>
    <t>울산콘텐츠코리아랩 사업화 지원 프로그램 운영</t>
  </si>
  <si>
    <t>https://www.g2b.go.kr/link/PNPE027_01/single/?bidPbancNo=R25BK00786206&amp;bidPbancOrd=000</t>
  </si>
  <si>
    <t>2025년 「반려동물산업 스타트업 발굴 및 창업지원」 액셀러레이팅 프로그램 운영 용역</t>
  </si>
  <si>
    <t>주식회사 아이피에스벤처스</t>
  </si>
  <si>
    <t>https://www.g2b.go.kr/link/PNPE027_01/single/?bidPbancNo=R25BK00786952&amp;bidPbancOrd=000</t>
  </si>
  <si>
    <t>2025년 경기창업혁신공간(동부권역) 시군 스타트업 육성 지원사업 운영 용역</t>
  </si>
  <si>
    <t>https://www.g2b.go.kr/link/PNPE027_01/single/?bidPbancNo=R25BK00790713&amp;bidPbancOrd=000</t>
  </si>
  <si>
    <t>[대학혁신지원사업]제13회, 제14회 아랩액셀러레이팅 프로그램</t>
  </si>
  <si>
    <t>https://www.g2b.go.kr/link/PNPE027_01/single/?bidPbancNo=R25BK00788708&amp;bidPbancOrd=001</t>
  </si>
  <si>
    <t>https://www.g2b.go.kr/link/PNPE027_01/single/?bidPbancNo=R25BK00814194&amp;bidPbancOrd=000</t>
  </si>
  <si>
    <t>2025년 스타일테크 유망기업 액셀러레이팅 프로그램 운영</t>
  </si>
  <si>
    <t>주식회사 마크앤컴퍼니</t>
  </si>
  <si>
    <t>https://www.g2b.go.kr/link/PNPE027_01/single/?bidPbancNo=R25BK00814969&amp;bidPbancOrd=000</t>
  </si>
  <si>
    <t>전문인력·기타: 중소벤처기업부에 등록된 민간 액셀러레이터로서 액셀러레이터 등록증을 제출해야 하며, TIPS 운영사 자격을 유지해야 합니다.</t>
  </si>
  <si>
    <t>주식회사 비스퀘어</t>
  </si>
  <si>
    <t>2025년 경기창업혁신공간(북동부권역) 시군 스타트업 육성 지원사업 운영 용역</t>
  </si>
  <si>
    <t>비디씨엑셀러레이터 주식회사</t>
  </si>
  <si>
    <t>https://www.g2b.go.kr/link/PNPE027_01/single/?bidPbancNo=R25BK00886372&amp;bidPbancOrd=000</t>
  </si>
  <si>
    <t>전문인력·기타: 참여 인력의 현황과 이력사항을 제출해야 합니다.</t>
  </si>
  <si>
    <t>2025 경남 관광기업 액셀러레이팅 프로그램 운영 용역</t>
  </si>
  <si>
    <t>학술.연구용역(1169); 창업기획자 (6883), 기타자유업(행사대행업)(9901)</t>
  </si>
  <si>
    <t>https://www.g2b.go.kr/link/PNPE027_01/single/?bidPbancNo=R25BK00916868&amp;bidPbancOrd=000</t>
  </si>
  <si>
    <t>2025년 하남시 관내 스타트업 발굴 및 육성 지원사업 운영 용역</t>
  </si>
  <si>
    <t>한국바이오투자파트너스 주식회사</t>
  </si>
  <si>
    <t>https://www.g2b.go.kr/link/PNPE027_01/single/?bidPbancNo=R25BK00922842&amp;bidPbancOrd=000</t>
  </si>
  <si>
    <t>2025 청년문화예술 창업지원 액셀러레이팅 프로그램 운영 용역</t>
  </si>
  <si>
    <t>재단법인인천문화재단</t>
  </si>
  <si>
    <t>https://www.g2b.go.kr/link/PNPE027_01/single/?bidPbancNo=R25BK00954281&amp;bidPbancOrd=000</t>
  </si>
  <si>
    <t>「2025년 진주형 스타트업 액셀러레이팅 지원사업」프로그램 운영 위탁 용역</t>
  </si>
  <si>
    <t>https://www.g2b.go.kr/link/PNPE027_01/single/?bidPbancNo=R25BK00956898&amp;bidPbancOrd=000</t>
  </si>
  <si>
    <t>https://www.g2b.go.kr/link/PNPE027_01/single/?bidPbancNo=R25BK00971470&amp;bidPbancOrd=000</t>
  </si>
  <si>
    <t>2025년 경기벤처창업지원센터(판교)빌드업형 스타트업 발굴 및 육성지원사업 운영 용역</t>
  </si>
  <si>
    <t>https://www.g2b.go.kr/link/PNPE027_01/single/?bidPbancNo=R25BK00973618&amp;bidPbancOrd=000</t>
  </si>
  <si>
    <t>전문인력·기타: 기업진단, 현지 전문가 컨설팅, 데모데이, 글로벌 프로파일링, 해외출원 등을 수행할 역량이 있는 전문 컨설턴트 및 해외 액셀러레이터 Pool을 보유한 업체여야 합니다.</t>
  </si>
  <si>
    <t>https://www.g2b.go.kr/link/PNPE027_01/single/?bidPbancNo=R25BK00989554&amp;bidPbancOrd=000</t>
  </si>
  <si>
    <t>2025년 하남시 청년지원센터「맞춤형 취·창업지원 프로그램」용역</t>
  </si>
  <si>
    <t>경기도 하남시</t>
  </si>
  <si>
    <t>주식회사 한국인적자원관리원</t>
  </si>
  <si>
    <t>https://www.g2b.go.kr/link/PNPE027_01/single/?bidPbancNo=R25BK00992064&amp;bidPbancOrd=000</t>
  </si>
  <si>
    <t>2025 캠퍼스타운 글로벌 오픈이노베이션 운영</t>
  </si>
  <si>
    <t>https://www.g2b.go.kr/link/PNPE027_01/single/?bidPbancNo=R25BK00995694&amp;bidPbancOrd=000</t>
  </si>
  <si>
    <t>와이즈유(영산대학교 산학협력단) 2025년 초기기업-대기업 동반성장 오픈이노베이션 운영 위탁용역 입찰</t>
  </si>
  <si>
    <t>https://www.g2b.go.kr/link/PNPE027_01/single/?bidPbancNo=R25BK01020616&amp;bidPbancOrd=000</t>
  </si>
  <si>
    <t>한양대학교 캠퍼스타운 「2025 외국인 유학생 창업지원 프로그램」 용역</t>
  </si>
  <si>
    <t>주식회사 강쎈</t>
  </si>
  <si>
    <t>https://www.g2b.go.kr/link/PNPE027_01/single/?bidPbancNo=R25BK01031914&amp;bidPbancOrd=000</t>
  </si>
  <si>
    <t>[재공고] 와이즈유(영산대학교 산학협력단) 2025년 초기기업-대기업 동반성장 오픈이노베이션 운영 위탁용역</t>
  </si>
  <si>
    <t>https://www.g2b.go.kr/link/PNPE027_01/single/?bidPbancNo=R25BK01036029&amp;bidPbancOrd=000</t>
  </si>
  <si>
    <t>동국대학교 AI+메타버스 기반 창업지원 프로그램 용역</t>
  </si>
  <si>
    <t>동국대학교 산학협력단</t>
  </si>
  <si>
    <t>주식회사 디지포레</t>
  </si>
  <si>
    <t>https://www.g2b.go.kr/link/PNPE027_01/single/?bidPbancNo=R25BK01043660&amp;bidPbancOrd=000</t>
  </si>
  <si>
    <t>2025 학생 창업유망팀 300+ 후속 액셀러레이팅 프로그램 운영</t>
  </si>
  <si>
    <t>https://www.g2b.go.kr/link/PNPE027_01/single/?bidPbancNo=R25BK01071644&amp;bidPbancOrd=000</t>
  </si>
  <si>
    <t>https://www.g2b.go.kr/link/PNPE027_01/single/?bidPbancNo=R25BK01089526&amp;bidPbancOrd=000</t>
  </si>
  <si>
    <t>범부처 글로벌 액셀러레이팅 프로그램 Alumni Day 2025 운영 위탁 용역</t>
  </si>
  <si>
    <t>기타행사기획및대행서비스 (8014199001), 동영상제작서비스(8213160301)</t>
  </si>
  <si>
    <t>https://www.g2b.go.kr/link/PNPE027_01/single/?bidPbancNo=R25BK01107478&amp;bidPbancOrd=000</t>
  </si>
  <si>
    <t>전문인력·기타: 참여 인력의 적정성과 전문성이 요구됩니다.</t>
  </si>
  <si>
    <t>Next Energy 성장지원 엑셀러레이팅 프로그램 용역</t>
  </si>
  <si>
    <t>동아대학교</t>
  </si>
  <si>
    <t>전문인력·기타: 공고일 기준 6개월 이상 해당 업체에 근무하고 있는 용역전담 인력 최소 7명 이상이 필요합니다.</t>
  </si>
  <si>
    <t>https://www.g2b.go.kr/link/PNPE027_01/single/?bidPbancNo=R25BK01235642&amp;bidPbancOrd=000</t>
  </si>
  <si>
    <t>2024년 공고</t>
  </si>
  <si>
    <t>창업교육·캠프 · 59건</t>
  </si>
  <si>
    <t>시드앤파트너스 주식회사</t>
  </si>
  <si>
    <t>학술.연구용역 (1169), 기타자유업(행사대행업)(9901)</t>
  </si>
  <si>
    <t>2023학년도 기술창업캠프 운영 용역</t>
  </si>
  <si>
    <t>원광대학교</t>
  </si>
  <si>
    <t>https://www.g2b.go.kr:8101/ep/tbid/selectOthersBidDtl.do?tbidno=20240111310&amp;bidseq=00</t>
  </si>
  <si>
    <t>주식회사 씨드그라운드</t>
  </si>
  <si>
    <t>태안군 청년정책 기본계획 수립 및 창업교육 위탁운영 용역</t>
  </si>
  <si>
    <t>주식회사 런런컨설팅</t>
  </si>
  <si>
    <t>https://www.g2b.go.kr/link/PNPE027_01/single/?bidPbancNo=20240133128&amp;bidPbancOrd=000</t>
  </si>
  <si>
    <t>2024년 옥빛채 창업교육 프로그램 운영 용역</t>
  </si>
  <si>
    <t>경상남도 거제시</t>
  </si>
  <si>
    <t>경남발전연구소 주식회사</t>
  </si>
  <si>
    <t>https://www.g2b.go.kr/link/PNPE027_01/single/?bidPbancNo=20240230974&amp;bidPbancOrd=000</t>
  </si>
  <si>
    <t>https://www.g2b.go.kr/link/PNPE027_01/single/?bidPbancNo=20240309857&amp;bidPbancOrd=000</t>
  </si>
  <si>
    <t>2024학년도 창업교육프로그램 운영업체 선정</t>
  </si>
  <si>
    <t>기타(수기입찰)</t>
  </si>
  <si>
    <t>https://www.g2b.go.kr/link/PNPE027_01/single/?bidPbancNo=20240322109&amp;bidPbancOrd=000</t>
  </si>
  <si>
    <t>https://www.g2b.go.kr/link/PNPE027_01/single/?bidPbancNo=20240326774&amp;bidPbancOrd=000</t>
  </si>
  <si>
    <t>https://www.g2b.go.kr/link/PNPE027_01/single/?bidPbancNo=20240326774&amp;bidPbancOrd=001</t>
  </si>
  <si>
    <t>https://www.g2b.go.kr/link/PNPE027_01/single/?bidPbancNo=20240322109&amp;bidPbancOrd=001</t>
  </si>
  <si>
    <t>2024년 경기도 청년 사회적경제 창업캠프(북부)</t>
  </si>
  <si>
    <t>주식회사 오마이컴퍼니</t>
  </si>
  <si>
    <t>https://www.g2b.go.kr/link/PNPE027_01/single/?bidPbancNo=20240340476&amp;bidPbancOrd=000</t>
  </si>
  <si>
    <t>2024 이천시 사회적경제 창업교육 운영 용역</t>
  </si>
  <si>
    <t>경기도 이천시</t>
  </si>
  <si>
    <t>상생연대 사회적협동조합</t>
  </si>
  <si>
    <t>https://www.g2b.go.kr/link/PNPE027_01/single/?bidPbancNo=20240434473&amp;bidPbancOrd=000</t>
  </si>
  <si>
    <t>「2024 전국 창업교육혁신선도대학(SCOUT) 통합 워크숍」기획 및 행사운영 용역</t>
  </si>
  <si>
    <t>https://www.g2b.go.kr/link/PNPE027_01/single/?bidPbancNo=20240439747&amp;bidPbancOrd=000</t>
  </si>
  <si>
    <t>2024년 경기 스타트업 아카데미 교육과정 개발 용역</t>
  </si>
  <si>
    <t>학술.연구용역 (1169), 평생교육시설(지식·인력개발사업관련) (3144), 기타자유업종(9999)</t>
  </si>
  <si>
    <t>https://www.g2b.go.kr/link/PNPE027_01/single/?bidPbancNo=20240510380&amp;bidPbancOrd=000</t>
  </si>
  <si>
    <t>2024 청주공예창작지원센터 창업교육 운영 용역(협상에 의한 계약)</t>
  </si>
  <si>
    <t>https://www.g2b.go.kr/link/PNPE027_01/single/?bidPbancNo=20240514146&amp;bidPbancOrd=000</t>
  </si>
  <si>
    <t>2024 학생 창업유망팀 300+ 도약트랙(일반) 교육 운영</t>
  </si>
  <si>
    <t>https://www.g2b.go.kr/link/PNPE027_01/single/?bidPbancNo=20240523129&amp;bidPbancOrd=000</t>
  </si>
  <si>
    <t>언더독스 주식회사</t>
  </si>
  <si>
    <t>그린에너지 미래모빌리티사업단 취 창업캠프 및 멘토링스쿨 콘퍼런스 전시 개최 용역</t>
  </si>
  <si>
    <t>https://www.g2b.go.kr/link/PNPE027_01/single/?bidPbancNo=20240541105&amp;bidPbancOrd=000</t>
  </si>
  <si>
    <t>[캠퍼스타운사업] K-이노스 창업스쿨 사업 용역</t>
  </si>
  <si>
    <t>https://www.g2b.go.kr/link/PNPE027_01/single/?bidPbancNo=20240603504&amp;bidPbancOrd=000</t>
  </si>
  <si>
    <t>2024년 경기도 소상공인 전문가육성교육(창업스쿨) 바리스타 양성과정 운영</t>
  </si>
  <si>
    <t>재단법인경기도시장상권진흥원</t>
  </si>
  <si>
    <t>평생교육시설(지식·인력개발사업관련) (3144), 기타자유업종(9999)</t>
  </si>
  <si>
    <t>https://www.g2b.go.kr/link/PNPE027_01/single/?bidPbancNo=20240610733&amp;bidPbancOrd=000</t>
  </si>
  <si>
    <t>2024년 경기도 소상공인 전문가육성교육(창업스쿨) 라이브커머스 전문가 육성과정 운영</t>
  </si>
  <si>
    <t>주식회사 스튜디오빌런</t>
  </si>
  <si>
    <t>통신판매업(4403)</t>
  </si>
  <si>
    <t>https://www.g2b.go.kr/link/PNPE027_01/single/?bidPbancNo=20240610756&amp;bidPbancOrd=000</t>
  </si>
  <si>
    <t>누들스쿨 창업교육 및 인큐베이팅 운영</t>
  </si>
  <si>
    <t>주식회사 마이샵온샵</t>
  </si>
  <si>
    <t>https://www.g2b.go.kr/link/PNPE027_01/single/?bidPbancNo=20240611522&amp;bidPbancOrd=000</t>
  </si>
  <si>
    <t>[디지털헬스케어사업] 2024년 해외 디지털헬스케어 특화 창업 교육과정 프로그램 운영 용역</t>
  </si>
  <si>
    <t>주식회사 클레프이노베이션</t>
  </si>
  <si>
    <t>종합여행업 (1261), 국내외여행업 (1262), 기타자유업(행사대행업)(9901)</t>
  </si>
  <si>
    <t>수의(최저가)</t>
  </si>
  <si>
    <t>https://www.g2b.go.kr/link/PNPE027_01/single/?bidPbancNo=20240614947&amp;bidPbancOrd=000</t>
  </si>
  <si>
    <t>2024 학생 창업유망팀 300+ 성장트랙 교육 운영</t>
  </si>
  <si>
    <t>https://www.g2b.go.kr/link/PNPE027_01/single/?bidPbancNo=20240618270&amp;bidPbancOrd=000</t>
  </si>
  <si>
    <t>2024 학생 창업유망팀 300+ 예비트랙 교육 운영</t>
  </si>
  <si>
    <t>https://www.g2b.go.kr/link/PNPE027_01/single/?bidPbancNo=20240618403&amp;bidPbancOrd=000</t>
  </si>
  <si>
    <t>로컬크리에이터 양성 대행 용역</t>
  </si>
  <si>
    <t>재단법인제천문화재단</t>
  </si>
  <si>
    <t>주식회사 고래상어</t>
  </si>
  <si>
    <t>학술.연구용역 (1169), 기타자유업(행사대행업) (9901), 기타자유업종(9999)</t>
  </si>
  <si>
    <t>https://www.g2b.go.kr/link/PNPE027_01/single/?bidPbancNo=20240620410&amp;bidPbancOrd=000</t>
  </si>
  <si>
    <t>왜관시장로컬크리에이터 양성 및 로컬크리에이팅 콘텐츠 개발 사업 대행 용역(긴급)</t>
  </si>
  <si>
    <t>왜관시장 문화관광형시장 육성사업단</t>
  </si>
  <si>
    <t>https://www.g2b.go.kr/link/PNPE027_01/single/?bidPbancNo=20240620936&amp;bidPbancOrd=000</t>
  </si>
  <si>
    <t>https://www.g2b.go.kr/link/PNPE027_01/single/?bidPbancNo=20240621459&amp;bidPbancOrd=000</t>
  </si>
  <si>
    <t>https://www.g2b.go.kr/link/PNPE027_01/single/?bidPbancNo=20240621459&amp;bidPbancOrd=001</t>
  </si>
  <si>
    <t>2024년 벤처스타트업 아카데미(SW/콘텐츠) 사업 실무 역량강화 프로그램 우탁 용역 입찰공고</t>
  </si>
  <si>
    <t>(사)벤처기업협회</t>
  </si>
  <si>
    <t>https://www.g2b.go.kr/link/PNPE027_01/single/?bidPbancNo=20240625339&amp;bidPbancOrd=000</t>
  </si>
  <si>
    <t>2024년 글로벌창업사관학교 투자유치 집중프로그램(G-ROUND) 운영용역</t>
  </si>
  <si>
    <t>주식회사 넥스트유니콘</t>
  </si>
  <si>
    <t>https://www.g2b.go.kr/link/PNPE027_01/single/?bidPbancNo=20240635407&amp;bidPbancOrd=000</t>
  </si>
  <si>
    <t>2024년 경기도 소상공인 전문가육성교육(창업스쿨) 외식업 스킬 향상과정 운영</t>
  </si>
  <si>
    <t>주식회사 케이디앤아이</t>
  </si>
  <si>
    <t>https://www.g2b.go.kr/link/PNPE027_01/single/?bidPbancNo=20240635902&amp;bidPbancOrd=000</t>
  </si>
  <si>
    <t>2024년 벤처스타트업 아카데미(SW/콘텐츠) 사업 실무 역량강화 프로그램 위탁용역 재입찰공고</t>
  </si>
  <si>
    <t>https://www.g2b.go.kr/link/PNPE027_01/single/?bidPbancNo=20240702487&amp;bidPbancOrd=000</t>
  </si>
  <si>
    <t>기타자유업(행사대행업) (9901), 기타자유업종(9999)</t>
  </si>
  <si>
    <t>2024년 경기 창업허브 기회 경기 스타트업 스쿨 AI 교육  운영 용역(재공고)</t>
  </si>
  <si>
    <t>(주)한컴아카데미</t>
  </si>
  <si>
    <t>전문인력·기타: NVIDIA DLI(Deep Learning Institute) 교육을 직접 운영할 수 있는 NVIDIA 공인 교육기관이어야 합니다.</t>
  </si>
  <si>
    <t>https://www.g2b.go.kr/link/PNPE027_01/single/?bidPbancNo=20240722543&amp;bidPbancOrd=000</t>
  </si>
  <si>
    <t>학생 창업 문화 확산을 위한 학생 창업유망팀 네트워킹 데이 행사장 구축</t>
  </si>
  <si>
    <t>https://www.g2b.go.kr/link/PNPE027_01/single/?bidPbancNo=20240725306&amp;bidPbancOrd=000</t>
  </si>
  <si>
    <t>2024년 GIST 기술기반 창업교육 지원</t>
  </si>
  <si>
    <t>https://www.g2b.go.kr/link/PNPE027_01/single/?bidPbancNo=20240726944&amp;bidPbancOrd=000</t>
  </si>
  <si>
    <t>[디지털헬스케어사업] 2024학년도 디지털헬스케어 분야 메이커 창업교육 프로그램 운영 용역</t>
  </si>
  <si>
    <t>주식회사대한쓰리디프린팅융합연구소</t>
  </si>
  <si>
    <t>https://www.g2b.go.kr/link/PNPE027_01/single/?bidPbancNo=20240725181&amp;bidPbancOrd=000</t>
  </si>
  <si>
    <t>2024 전북 관광기업 맞춤형 컨설팅 및 창업 아카데미 운영</t>
  </si>
  <si>
    <t>(재)전북문화관광재단</t>
  </si>
  <si>
    <t>액티부키 주식회사</t>
  </si>
  <si>
    <t>창업기획자(6883); 학술.연구용역(1169); 기타자유업(행사대행업)(9901)</t>
  </si>
  <si>
    <t>https://www.g2b.go.kr/link/PNPE027_01/single/?bidPbancNo=20240808807&amp;bidPbancOrd=000</t>
  </si>
  <si>
    <t>[LINC3.0] 2024창업역량강화 프로그램 운영 위탁 용역 입찰 공고</t>
  </si>
  <si>
    <t>원광보건대학교 산학협력단</t>
  </si>
  <si>
    <t>https://www.g2b.go.kr:8101/ep/tbid/selectOthersBidDtl.do?tbidno=20240822389&amp;bidseq=00</t>
  </si>
  <si>
    <t>우간다 청년창업사관학교 설립 및 운영 ODA사업 GITEX 참여 용역</t>
  </si>
  <si>
    <t>옴니매니지먼트 주식회사</t>
  </si>
  <si>
    <t>전문인력·기타: 사업관리자(PM) 재직증명서 및 4대보험 중 어느 하나 가입증명자료를 제출해야 합니다.</t>
  </si>
  <si>
    <t>https://www.g2b.go.kr/link/PNPE027_01/single/?bidPbancNo=20240826829&amp;bidPbancOrd=000</t>
  </si>
  <si>
    <t>광주 AI창업캠프(2호) 청소 용역</t>
  </si>
  <si>
    <t>인공지능산업융합사업단</t>
  </si>
  <si>
    <t>스마트세상(주)</t>
  </si>
  <si>
    <t>건물위생관리업(1162)</t>
  </si>
  <si>
    <t>https://www.g2b.go.kr/link/PNPE027_01/single/?bidPbancNo=20240911299&amp;bidPbancOrd=000</t>
  </si>
  <si>
    <t>2024 DSC 모빌리티소부장 창업 아카데미 용역</t>
  </si>
  <si>
    <t>공주대학교</t>
  </si>
  <si>
    <t>https://www.g2b.go.kr/link/PNPE027_01/single/?bidPbancNo=20240913058&amp;bidPbancOrd=000</t>
  </si>
  <si>
    <t>지역상권육성사회적협동조합</t>
  </si>
  <si>
    <t>https://www.g2b.go.kr/link/PNPE027_01/single/?bidPbancNo=20240927532&amp;bidPbancOrd=000</t>
  </si>
  <si>
    <t>(수의시담) 2024 DSC 모빌리티소부장 창업 아카데미 용역</t>
  </si>
  <si>
    <t>주식회사 로로플랜</t>
  </si>
  <si>
    <t>https://www.g2b.go.kr/link/PNPE027_01/single/?bidPbancNo=20240927693&amp;bidPbancOrd=000</t>
  </si>
  <si>
    <t>2024년 부산권 8개 창업공유대학 글로벌 창업캠프 운영</t>
  </si>
  <si>
    <t>주식회사 포커스투어</t>
  </si>
  <si>
    <t>https://www.g2b.go.kr/link/PNPE027_01/single/?bidPbancNo=20241020743&amp;bidPbancOrd=000</t>
  </si>
  <si>
    <t>24년 벤처스타트업 아카데미(SW/콘텐츠) AI 자율주행 분야 역량강화 및 성과교류회 위탁 용역</t>
  </si>
  <si>
    <t>https://www.g2b.go.kr/link/PNPE027_01/single/?bidPbancNo=20241022885&amp;bidPbancOrd=000</t>
  </si>
  <si>
    <t>지앤교육그룹(주)</t>
  </si>
  <si>
    <t>[2024대학혁신지원사업] 세종대학교 2024년 창업캠프 위탁운영 용역</t>
  </si>
  <si>
    <t>세종대학교</t>
  </si>
  <si>
    <t>https://www.g2b.go.kr/link/PNPE027_01/single/?bidPbancNo=20241036116&amp;bidPbancOrd=000</t>
  </si>
  <si>
    <t>[LINC3.0]2024학년도 취·창업동아리 업그레이드 캠프 및 성과보고회 운영 용역</t>
  </si>
  <si>
    <t>https://www.g2b.go.kr/link/PNPE027_01/single/?bidPbancNo=20241110955&amp;bidPbancOrd=000</t>
  </si>
  <si>
    <t>[공동학과] DGM 국립대학간 공동학과 글로벌 창업역량강화 프로그램 운영 용역</t>
  </si>
  <si>
    <t>경북대학교 대구경북지역혁신플랫폼총괄운영센터 RIS대학교육혁신본부</t>
  </si>
  <si>
    <t>https://www.g2b.go.kr/link/PNPE027_01/single/?bidPbancNo=20241112768&amp;bidPbancOrd=000</t>
  </si>
  <si>
    <t>2024학년도 기술혁신 실전창업캠프 운영 용역</t>
  </si>
  <si>
    <t>https://www.g2b.go.kr:8101/ep/tbid/selectOthersBidDtl.do?tbidno=20241136757&amp;bidseq=00</t>
  </si>
  <si>
    <t>2024 동남권 SCOUT 창업 캠프 해외 창업시장 탐색 프로그램 기획 및 행사운영 용역</t>
  </si>
  <si>
    <t>https://www.g2b.go.kr/link/PNPE027_01/single/?bidPbancNo=20241219289&amp;bidPbancOrd=000</t>
  </si>
  <si>
    <t>[혁신사업] 2024학년도 건국 실험실 창업 아카데미</t>
  </si>
  <si>
    <t>https://www.g2b.go.kr/link/PNPE027_01/single/?bidPbancNo=20241220650&amp;bidPbancOrd=000</t>
  </si>
  <si>
    <t>[산단]창업지원단-2024년 창업중심대학 대구 경북 창업동아리 역량 강화 캠프 운영 용역</t>
  </si>
  <si>
    <t>https://www.g2b.go.kr/link/PNPE027_01/single/?bidPbancNo=20241229926&amp;bidPbancOrd=000</t>
  </si>
  <si>
    <t>[디지털헬스케어사업] 겨울 디지털헬스케어 메이커 창업교육 프로그램 운영 용역</t>
  </si>
  <si>
    <t>전문인력·기타: 공사 또는 기술용역의 경우 기술자 보유현황이 관련법령에 따른 업종등록 기준에 미달하는 자는 참여할 수 없습니다.</t>
  </si>
  <si>
    <t>https://www.g2b.go.kr/link/PNPE027_01/single/?bidPbancNo=20241239149&amp;bidPbancOrd=000</t>
  </si>
  <si>
    <t>창업경진대회·IR 행사 · 44건</t>
  </si>
  <si>
    <t>기타자유업(행사대행업) (9901), 기타자유업(광고대행업)(9902)</t>
  </si>
  <si>
    <t>2024년 청년창업사관학교 창업출정식 행사 운영용역</t>
  </si>
  <si>
    <t>https://www.g2b.go.kr/link/PNPE027_01/single/?bidPbancNo=20240326696&amp;bidPbancOrd=000</t>
  </si>
  <si>
    <t>2024년 대구광역시 공공데이터 활용 창업경진대회 운영 용역</t>
  </si>
  <si>
    <t>소프트웨어사업자(데이터베이스제작및검색서비스사업)(1470)</t>
  </si>
  <si>
    <t>데이터처리서비스 (8111200201), 빅데이터분석서비스(8111200202)</t>
  </si>
  <si>
    <t>https://www.g2b.go.kr/link/PNPE027_01/single/?bidPbancNo=20240334914&amp;bidPbancOrd=000</t>
  </si>
  <si>
    <t>사단법인 한국엔젤투자협회</t>
  </si>
  <si>
    <t>2024년 K-디지털챌린지 : AI 스타트업 창업 경진대회 운영 용역</t>
  </si>
  <si>
    <t>에스마이스연구원 주식회사</t>
  </si>
  <si>
    <t>https://www.g2b.go.kr/link/PNPE027_01/single/?bidPbancNo=20240403333&amp;bidPbancOrd=000</t>
  </si>
  <si>
    <t>2024 울산관광스타트업 창업 아카데미 및 아이디어톤 운영 용역</t>
  </si>
  <si>
    <t>https://www.g2b.go.kr/link/PNPE027_01/single/?bidPbancNo=20240415027&amp;bidPbancOrd=000</t>
  </si>
  <si>
    <t>취·창업 경진대회 사무국 운영</t>
  </si>
  <si>
    <t>사단법인 한국정보통신진흥협회</t>
  </si>
  <si>
    <t>주식회사 케이아이미디어</t>
  </si>
  <si>
    <t>전문인력·기타: 투입(참여)인원의 역량 및 수행경험, 인력 구성 및 배치의 적정성, 일정별 수행인력 계획 등 수행 인력의 적정성을 평가합니다.</t>
  </si>
  <si>
    <t>https://www.g2b.go.kr/link/PNPE027_01/single/?bidPbancNo=20240429109&amp;bidPbancOrd=000</t>
  </si>
  <si>
    <t>(주) 한국능률협회컨설팅</t>
  </si>
  <si>
    <t>2024 학생 창업유망팀 300+ 경진대회 지원 및 행사 운영</t>
  </si>
  <si>
    <t>https://www.g2b.go.kr/link/PNPE027_01/single/?bidPbancNo=20240444324&amp;bidPbancOrd=000</t>
  </si>
  <si>
    <t>2024년 의정부 혁신도시 스타트업 챌린지 및 창업경진대회 프로그램 통합 운영</t>
  </si>
  <si>
    <t>https://www.g2b.go.kr/link/PNPE027_01/single/?bidPbancNo=20240515669&amp;bidPbancOrd=000</t>
  </si>
  <si>
    <t>주식회사 필릭플랜</t>
  </si>
  <si>
    <t>https://www.g2b.go.kr/link/PNPE027_01/single/?bidPbancNo=20240520203&amp;bidPbancOrd=000</t>
  </si>
  <si>
    <t>2024년 창업 아이디어 경진대회 운영 용역</t>
  </si>
  <si>
    <t>문화숲</t>
  </si>
  <si>
    <t>https://www.g2b.go.kr/link/PNPE027_01/single/?bidPbancNo=20240526862&amp;bidPbancOrd=000</t>
  </si>
  <si>
    <t>2024 ANSAN START UP 청년창업 경진대회 행사 용역</t>
  </si>
  <si>
    <t>주식회사 스타트런</t>
  </si>
  <si>
    <t>https://www.g2b.go.kr/link/PNPE027_01/single/?bidPbancNo=20240527311&amp;bidPbancOrd=000</t>
  </si>
  <si>
    <t>2024 차세대 혁신 창업 아이디어 경진대회 용역</t>
  </si>
  <si>
    <t>나사렛대학교</t>
  </si>
  <si>
    <t>제한 있음 (충청남도)</t>
  </si>
  <si>
    <t>https://www.g2b.go.kr/link/PNPE027_01/single/?bidPbancNo=20240527967&amp;bidPbancOrd=000</t>
  </si>
  <si>
    <t>2024학년도 차세대 혁신 창업 아이디어 경진대회 용역</t>
  </si>
  <si>
    <t>더함협동조합</t>
  </si>
  <si>
    <t>제안서적격자중 예가내 최저투찰자</t>
  </si>
  <si>
    <t>전문인력·기타: 제안업체의 인력 구성 및 전문성, 조직현황에 대한 정보가 필요합니다.</t>
  </si>
  <si>
    <t>https://www.g2b.go.kr/link/PNPE027_01/single/?bidPbancNo=20240535561&amp;bidPbancOrd=000</t>
  </si>
  <si>
    <t>(주)마이스컴퍼니</t>
  </si>
  <si>
    <t>「도전! K-스타트업 2024」과학기술창업 경진대회 운영지원 용역</t>
  </si>
  <si>
    <t>https://www.g2b.go.kr/link/PNPE027_01/single/?bidPbancNo=20240608795&amp;bidPbancOrd=000</t>
  </si>
  <si>
    <t>[디지털헬스케어사업] 2024학년도 디지털헬스케어 창업 경진대회(창업캠프) 운영 용역</t>
  </si>
  <si>
    <t>주식회사 온나비</t>
  </si>
  <si>
    <t>전문인력·기타: 기술자 보유현황이 관련법령에 따른 업종등록 기준에 미달하면 안 됩니다.</t>
  </si>
  <si>
    <t>https://www.g2b.go.kr/link/PNPE027_01/single/?bidPbancNo=20240705044&amp;bidPbancOrd=000</t>
  </si>
  <si>
    <t>[46302]2024 포스텍 창업경진대회 위탁 운영 용역</t>
  </si>
  <si>
    <t>https://www.g2b.go.kr/link/PNPE027_01/single/?bidPbancNo=20240730579&amp;bidPbancOrd=000</t>
  </si>
  <si>
    <t>2024년 평택 창업경진대회 및 팝(PoP) 스타트업 Day 용역</t>
  </si>
  <si>
    <t>https://www.g2b.go.kr/link/PNPE027_01/single/?bidPbancNo=20240806096&amp;bidPbancOrd=000</t>
  </si>
  <si>
    <t>한국외대(글로벌) 벤처스타트업 아카데미 해커톤 프로그램</t>
  </si>
  <si>
    <t>한국외국어대학교 글로벌캠퍼스</t>
  </si>
  <si>
    <t>https://www.g2b.go.kr:8101/ep/tbid/selectOthersBidDtl.do?tbidno=20240811163&amp;bidseq=00</t>
  </si>
  <si>
    <t>창업 아이디어 경진대회 용역</t>
  </si>
  <si>
    <t>공사용역 담당</t>
  </si>
  <si>
    <t>https://www.g2b.go.kr:8101/ep/tbid/serviceBidDtl.do?tbidno=20240813828&amp;bidseq=00</t>
  </si>
  <si>
    <t>GovTech 창업 경진대회 시상식 기획 및 진행 용역</t>
  </si>
  <si>
    <t>(주)한국능률협회컨설팅</t>
  </si>
  <si>
    <t>https://www.g2b.go.kr/link/PNPE027_01/single/?bidPbancNo=20240909377&amp;bidPbancOrd=000</t>
  </si>
  <si>
    <t>2024 서울창업허브 공덕 데모데이 운영 용역</t>
  </si>
  <si>
    <t>회의기획및대행서비스 (8014190201), 전시회기획및대행서비스 (8014198801), 국제행사기획및대행서비스 (8014198901), 기타행사기획및대행서비스 (8014199001), 동영상제작서비스(8213160301)</t>
  </si>
  <si>
    <t>https://www.g2b.go.kr/link/PNPE027_01/single/?bidPbancNo=20240915503&amp;bidPbancOrd=000</t>
  </si>
  <si>
    <t>「창업교육 혁신 선도대학(SCOUT)사업」 2024년 전문대 연합 창업경진대회 운영업체 선정</t>
  </si>
  <si>
    <t>조선이공대학 산학협력단</t>
  </si>
  <si>
    <t>전시회기획및대행서비스(8014198801)</t>
  </si>
  <si>
    <t>https://www.g2b.go.kr:8101/ep/tbid/selectOthersBidDtl.do?tbidno=20240927473&amp;bidseq=00</t>
  </si>
  <si>
    <t>IP 혁신 스타트업 컨퍼런스 운영 행사 운영</t>
  </si>
  <si>
    <t>한국발명진흥회</t>
  </si>
  <si>
    <t>주식회사 포렉스컴</t>
  </si>
  <si>
    <t>https://www.g2b.go.kr/link/PNPE027_01/single/?bidPbancNo=20241001855&amp;bidPbancOrd=000</t>
  </si>
  <si>
    <t>https://www.g2b.go.kr:8101/ep/tbid/selectOthersBidDtl.do?tbidno=20241002545&amp;bidseq=00</t>
  </si>
  <si>
    <t>2024년 고려대학교 글로벌 스타트업 컨퍼런스 운영 용역</t>
  </si>
  <si>
    <t>주식회사 소울트리</t>
  </si>
  <si>
    <t>https://www.g2b.go.kr/link/PNPE027_01/single/?bidPbancNo=20241008642&amp;bidPbancOrd=000</t>
  </si>
  <si>
    <t>주식회사 더플랜두씨</t>
  </si>
  <si>
    <t>국제행사기획및대행서비스(8014198901)</t>
  </si>
  <si>
    <t>한양대학교 ERICA 창업경진대회 운영</t>
  </si>
  <si>
    <t>한양대학교</t>
  </si>
  <si>
    <t>https://www.g2b.go.kr:8101/ep/tbid/selectOthersBidDtl.do?tbidno=20241015397&amp;bidseq=00</t>
  </si>
  <si>
    <t>‘2024년도 글로벌 창업 경진대회 및 글로벌 가상융합경제 포럼’ 행사 대행  용역</t>
  </si>
  <si>
    <t>https://www.g2b.go.kr/link/PNPE027_01/single/?bidPbancNo=20241015878&amp;bidPbancOrd=000</t>
  </si>
  <si>
    <t>[재공고] 「창업교육 혁신 선도대학(SCOUT)사업」 2024년 전문대 연합 창업경진대회 운영업체 선정</t>
  </si>
  <si>
    <t>https://www.g2b.go.kr:8101/ep/tbid/selectOthersBidDtl.do?tbidno=20241022422&amp;bidseq=00</t>
  </si>
  <si>
    <t>2024-2학기 캡스톤디자인 결과발표회 &amp; 2024학년도 창업동아리 경진대회 운영대행 용역</t>
  </si>
  <si>
    <t>주식회사 일로와</t>
  </si>
  <si>
    <t>https://www.g2b.go.kr/link/PNPE027_01/single/?bidPbancNo=20241020513&amp;bidPbancOrd=000</t>
  </si>
  <si>
    <t>제한 있음 (서울특별시)</t>
  </si>
  <si>
    <t>2024년 ICT이노베이션스퀘어확산사업 창업경진대회 및 컨설팅 용역</t>
  </si>
  <si>
    <t>주식회사 아이비스퀘어</t>
  </si>
  <si>
    <t>제한 있음 (강원특별자치도)</t>
  </si>
  <si>
    <t>https://www.g2b.go.kr/link/PNPE027_01/single/?bidPbancNo=20241031139&amp;bidPbancOrd=000</t>
  </si>
  <si>
    <t>[산단] 2024년도 AI 창업 경진대회 용역</t>
  </si>
  <si>
    <t>https://www.g2b.go.kr/link/PNPE027_01/single/?bidPbancNo=20241125491&amp;bidPbancOrd=000</t>
  </si>
  <si>
    <t>2025년 제 4회 장애·비장애 대학(원)생 창업경진대회 행사위탁 용역</t>
  </si>
  <si>
    <t>주식회사 고려아카데미컨설팅</t>
  </si>
  <si>
    <t>https://www.g2b.go.kr/link/PNPE027_01/single/?bidPbancNo=20241229527&amp;bidPbancOrd=001</t>
  </si>
  <si>
    <t>【긴급】COREA 스타트업 컨퍼런스 (Cheer UP Festival) &amp; 벤처브릿지 오픈 이노베이션</t>
  </si>
  <si>
    <t>주식회사 유니원커뮤니케이션즈</t>
  </si>
  <si>
    <t>https://www.g2b.go.kr/link/PNPE027_01/single/?bidPbancNo=20241240567&amp;bidPbancOrd=000</t>
  </si>
  <si>
    <t>창업보육·액셀러레이팅 · 69건</t>
  </si>
  <si>
    <t>K-Camp 광주5기 액셀러레이팅 프로그램 실시용역</t>
  </si>
  <si>
    <t>https://www.g2b.go.kr/link/PNPE027_01/single/?bidPbancNo=20240204112&amp;bidPbancOrd=000</t>
  </si>
  <si>
    <t>[긴급][산단]2024년 창업중심대학 유망청년창업지원 프로그램 혁신창업스쿨 운영 용역</t>
  </si>
  <si>
    <t>https://www.g2b.go.kr/link/PNPE027_01/single/?bidPbancNo=20240225809&amp;bidPbancOrd=000</t>
  </si>
  <si>
    <t>학술.연구용역 (1169), 기타자유업종(9999)</t>
  </si>
  <si>
    <t>[긴급] 2024 콘텐츠 스타트업 스케일업 프로그램 운영 위탁용역</t>
  </si>
  <si>
    <t>전시부스설치및디자인서비스 (7215409901), 전시홍보관설치및디자인서비스(7215409902)</t>
  </si>
  <si>
    <t>https://www.g2b.go.kr/link/PNPE027_01/single/?bidPbancNo=20240312827&amp;bidPbancOrd=000</t>
  </si>
  <si>
    <t>울산콘텐츠코리아랩 창제작 및 사업화 지원 프로그램 운영</t>
  </si>
  <si>
    <t>https://www.g2b.go.kr/link/PNPE027_01/single/?bidPbancNo=20240314359&amp;bidPbancOrd=000</t>
  </si>
  <si>
    <t>주식회사 나인메이커스</t>
  </si>
  <si>
    <t>2024년 서부 경기문화창조허브 창업지원 프로그램 운영</t>
  </si>
  <si>
    <t>https://www.g2b.go.kr/link/PNPE027_01/single/?bidPbancNo=20240329527&amp;bidPbancOrd=000</t>
  </si>
  <si>
    <t>주식회사 밸류업그라운드</t>
  </si>
  <si>
    <t>[재공고] 2024 콘텐츠 스타트업 스케일업 프로그램 운영 위탁용역</t>
  </si>
  <si>
    <t>https://www.g2b.go.kr/link/PNPE027_01/single/?bidPbancNo=20240401706&amp;bidPbancOrd=000</t>
  </si>
  <si>
    <t>글로벌스퀘어 주식회사</t>
  </si>
  <si>
    <t>주식회사 어나더브레인</t>
  </si>
  <si>
    <t>[대학혁신지원사업] 제11회, 제12회 아랩 액셀러레이팅 프로그램 (인하대학교)</t>
  </si>
  <si>
    <t>https://www.g2b.go.kr/link/PNPE027_01/single/?bidPbancNo=20240422477&amp;bidPbancOrd=000</t>
  </si>
  <si>
    <t>https://www.g2b.go.kr/link/PNPE027_01/single/?bidPbancNo=20240422477&amp;bidPbancOrd=001</t>
  </si>
  <si>
    <t>기업부설연구소 (3554), 창업기획자(6883)</t>
  </si>
  <si>
    <t>https://www.g2b.go.kr/link/PNPE027_01/single/?bidPbancNo=20240433723&amp;bidPbancOrd=000</t>
  </si>
  <si>
    <t>「스타트업 엑셀러레이팅 프로그램」 운영 용역</t>
  </si>
  <si>
    <t>재단법인대구창조경제혁신센터</t>
  </si>
  <si>
    <t>https://www.g2b.go.kr/link/PNPE027_01/single/?bidPbancNo=20240502807&amp;bidPbancOrd=000</t>
  </si>
  <si>
    <t>도전! J-스타트업 액셀러레이팅 운영</t>
  </si>
  <si>
    <t>https://www.g2b.go.kr/link/PNPE027_01/single/?bidPbancNo=20240506130&amp;bidPbancOrd=000</t>
  </si>
  <si>
    <t>주식회사 스토리앤데이터</t>
  </si>
  <si>
    <t>2024 테크비즈 액셀러레이팅 프로그램</t>
  </si>
  <si>
    <t>울산대학교 산학협력단</t>
  </si>
  <si>
    <t>https://www.g2b.go.kr/link/PNPE027_01/single/?bidPbancNo=20240513057&amp;bidPbancOrd=000</t>
  </si>
  <si>
    <t>https://www.g2b.go.kr/link/PNPE027_01/single/?bidPbancNo=20240515241&amp;bidPbancOrd=000</t>
  </si>
  <si>
    <t>2024 경남글로벌게임센터 게임기업 고도화 엑셀러레이팅 프로그램 운영 용역</t>
  </si>
  <si>
    <t>https://www.g2b.go.kr/link/PNPE027_01/single/?bidPbancNo=20240523289&amp;bidPbancOrd=000</t>
  </si>
  <si>
    <t>https://www.g2b.go.kr/link/PNPE027_01/single/?bidPbancNo=20240523289&amp;bidPbancOrd=001</t>
  </si>
  <si>
    <t>https://www.g2b.go.kr/link/PNPE027_01/single/?bidPbancNo=20240532550&amp;bidPbancOrd=000</t>
  </si>
  <si>
    <t>2024년 대구콘텐츠기업지원센터 엑셀러레이팅 프로그램 지원 운영 용역</t>
  </si>
  <si>
    <t>https://www.g2b.go.kr/link/PNPE027_01/single/?bidPbancNo=20240532626&amp;bidPbancOrd=000</t>
  </si>
  <si>
    <t>ICT이노베이션스퀘어 창업지원 프로그램 운영</t>
  </si>
  <si>
    <t>주식회사이드로경영파트너스</t>
  </si>
  <si>
    <t>제한 있음 (광주광역시)</t>
  </si>
  <si>
    <t>https://www.g2b.go.kr/link/PNPE027_01/single/?bidPbancNo=20240537362&amp;bidPbancOrd=000</t>
  </si>
  <si>
    <t>https://www.g2b.go.kr/link/PNPE027_01/single/?bidPbancNo=20240601981&amp;bidPbancOrd=000</t>
  </si>
  <si>
    <t>경남CKL 콘텐츠 창업지원 프로그램 운영 용역</t>
  </si>
  <si>
    <t>https://www.g2b.go.kr/link/PNPE027_01/single/?bidPbancNo=20240602597&amp;bidPbancOrd=000</t>
  </si>
  <si>
    <t>2024년 전남 으뜸기업 글로벌 액셀러레이팅 프로그램 운영 용역</t>
  </si>
  <si>
    <t>플러그앤플레이코리아유한책임회사</t>
  </si>
  <si>
    <t>https://www.g2b.go.kr/link/PNPE027_01/single/?bidPbancNo=20240606699&amp;bidPbancOrd=000</t>
  </si>
  <si>
    <t>부산 XR·메타버스 기업 육성 액셀러레이팅 프로그램 운영 용역</t>
  </si>
  <si>
    <t>https://www.g2b.go.kr/link/PNPE027_01/single/?bidPbancNo=20240622291&amp;bidPbancOrd=000</t>
  </si>
  <si>
    <t>창업혁신공간 남서부권(안양) 시군 스타트업 육성 지원사업 운영 용역</t>
  </si>
  <si>
    <t>주식회사 엔슬파트너스</t>
  </si>
  <si>
    <t>https://www.g2b.go.kr/link/PNPE027_01/single/?bidPbancNo=20240632157&amp;bidPbancOrd=000</t>
  </si>
  <si>
    <t>https://www.g2b.go.kr/link/PNPE027_01/single/?bidPbancNo=20240639256&amp;bidPbancOrd=000</t>
  </si>
  <si>
    <t>와이즈유(산학협력단) 2024년 초기기업-대기업 동반성장 오픈이노베이션 운영기관 선정</t>
  </si>
  <si>
    <t>https://www.g2b.go.kr/link/PNPE027_01/single/?bidPbancNo=20240700072&amp;bidPbancOrd=000</t>
  </si>
  <si>
    <t>[46082][46103]2024년 포스텍 및 포항강소특구 기업 글로벌 엑셀러레이팅 프로그램</t>
  </si>
  <si>
    <t>https://www.g2b.go.kr/link/PNPE027_01/single/?bidPbancNo=20240709440&amp;bidPbancOrd=000</t>
  </si>
  <si>
    <t>2024 경남관광스타트업 엑셀러레이팅 프로그램 운영 대행 용역(긴급)</t>
  </si>
  <si>
    <t>https://www.g2b.go.kr/link/PNPE027_01/single/?bidPbancNo=20240711432&amp;bidPbancOrd=000</t>
  </si>
  <si>
    <t>동국대학교 메타버스/가상기술융합 기반 창업지원 프로그램 운영</t>
  </si>
  <si>
    <t>https://www.g2b.go.kr/link/PNPE027_01/single/?bidPbancNo=20240718129&amp;bidPbancOrd=000</t>
  </si>
  <si>
    <t>https://www.g2b.go.kr/link/PNPE027_01/single/?bidPbancNo=20240718129&amp;bidPbancOrd=001</t>
  </si>
  <si>
    <t>24년 경북 AI·서비스로봇산업 창업역량강화 실전캠프 및 초기 창업지원 프로그램 기획/운영</t>
  </si>
  <si>
    <t>한국로봇융합연구원</t>
  </si>
  <si>
    <t>https://www.g2b.go.kr/link/PNPE027_01/single/?bidPbancNo=20240731354&amp;bidPbancOrd=000</t>
  </si>
  <si>
    <t>전문인력·기타: 기업진단, 현지 전문가 컨설팅, 데모데이 등을 수행할 역량이 있는 전문 컨설턴트 및 해외 액셀러레이터 Pool을 보유한 업체여야 합니다.</t>
  </si>
  <si>
    <t>2024 창업기업 글로벌 역량강화 해외 벤치마킹 운영 용역</t>
  </si>
  <si>
    <t>https://www.g2b.go.kr/link/PNPE027_01/single/?bidPbancNo=20240812639&amp;bidPbancOrd=000</t>
  </si>
  <si>
    <t>2024 학생 창업유망팀 300+ 후속 액셀러레이팅 프로그램 운영</t>
  </si>
  <si>
    <t>https://www.g2b.go.kr/link/PNPE027_01/single/?bidPbancNo=20240906266&amp;bidPbancOrd=000</t>
  </si>
  <si>
    <t>2024년 창업도약패키지 글로벌 스케일업 프로그램 운영 용역</t>
  </si>
  <si>
    <t>한국탄소산업진흥원</t>
  </si>
  <si>
    <t>루시케코리아 유한회사</t>
  </si>
  <si>
    <t>https://www.g2b.go.kr/link/PNPE027_01/single/?bidPbancNo=20241000446&amp;bidPbancOrd=000</t>
  </si>
  <si>
    <t>2024 푸드테크 창업지원 프로그램 운영</t>
  </si>
  <si>
    <t>씨에스알 임팩트(주)</t>
  </si>
  <si>
    <t>https://www.g2b.go.kr/link/PNPE027_01/single/?bidPbancNo=20241006576&amp;bidPbancOrd=000</t>
  </si>
  <si>
    <t>한국전력 예비사내벤처 액셀러레이팅 프로그램 용역</t>
  </si>
  <si>
    <t>https://www.g2b.go.kr:8101/ep/tbid/serviceBidDtl.do?tbidno=20241026073&amp;bidseq=00</t>
  </si>
  <si>
    <t>팁스 창업기업 글로벌 진출 프로그램</t>
  </si>
  <si>
    <t>전문인력·기타: 해당 과업 수행에 필요한 인력 및 기술력을 보유한 업체여야 합니다.</t>
  </si>
  <si>
    <t>https://www.g2b.go.kr/link/PNPE027_01/single/?bidPbancNo=20241034772&amp;bidPbancOrd=000</t>
  </si>
  <si>
    <t>대학원 혁신을 위한 창업지원 프로그램 고도화</t>
  </si>
  <si>
    <t>https://www.g2b.go.kr/link/PNPE027_01/single/?bidPbancNo=20241124433&amp;bidPbancOrd=000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</si>
</sst>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7" formatCode="yyyy\-mm\-dd"/>
    <numFmt numFmtId="178" formatCode="yyyy\-mm\-dd\ hh:mm"/>
    <numFmt numFmtId="179" formatCode="#,##0&quot;건&quot;"/>
    <numFmt numFmtId="180" formatCode="#,##0&quot;곳&quot;"/>
    <numFmt numFmtId="181" formatCode="0.0%"/>
  </numFmts>
  <fonts count="11">
    <font>
      <sz val="11"/>
      <color theme="1"/>
      <name val="맑은 고딕"/>
      <family val="2"/>
      <scheme val="minor"/>
    </font>
    <font>
      <b/>
      <sz val="12"/>
      <color rgb="FF1F4E79"/>
      <name val="Noto Sans KR"/>
      <charset val="129"/>
    </font>
    <font>
      <sz val="9"/>
      <color rgb="FF6B7280"/>
      <name val="Noto Sans KR"/>
      <charset val="129"/>
    </font>
    <font>
      <b/>
      <sz val="9"/>
      <color rgb="FF1F4E79"/>
      <name val="Noto Sans KR"/>
      <charset val="129"/>
    </font>
    <font>
      <b/>
      <sz val="9"/>
      <color rgb="FFFFFFFF"/>
      <name val="Noto Sans KR"/>
      <charset val="129"/>
    </font>
    <font>
      <sz val="9"/>
      <color rgb="FF111827"/>
      <name val="Noto Sans KR"/>
      <charset val="129"/>
    </font>
    <font>
      <u/>
      <sz val="9"/>
      <color rgb="FF0563C1"/>
      <name val="Noto Sans KR"/>
      <charset val="129"/>
    </font>
    <font>
      <b/>
      <sz val="9"/>
      <color rgb="FF375623"/>
      <name val="Noto Sans KR"/>
      <charset val="129"/>
    </font>
    <font>
      <b/>
      <sz val="10"/>
      <color rgb="FF1F4E79"/>
      <name val="Noto Sans KR"/>
      <charset val="129"/>
    </font>
    <font>
      <b/>
      <sz val="10"/>
      <color rgb="FFFFFFFF"/>
      <name val="Noto Sans KR"/>
      <charset val="129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E6F7"/>
      </patternFill>
    </fill>
    <fill>
      <patternFill patternType="solid">
        <fgColor rgb="FF1F4E79"/>
      </patternFill>
    </fill>
    <fill>
      <patternFill patternType="solid">
        <fgColor rgb="FFF3F7FB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4472C4"/>
      </patternFill>
    </fill>
    <fill>
      <patternFill patternType="solid">
        <fgColor rgb="FFD6E3F4"/>
      </patternFill>
    </fill>
  </fills>
  <borders count="2">
    <border>
      <left/>
      <right/>
      <top/>
      <bottom/>
      <diagonal/>
    </border>
    <border>
      <left style="thin">
        <color rgb="FFD4DCE6"/>
      </left>
      <right style="thin">
        <color rgb="FFD4DCE6"/>
      </right>
      <top style="thin">
        <color rgb="FFD4DCE6"/>
      </top>
      <bottom style="thin">
        <color rgb="FFD4DC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8" fillId="7" borderId="1" xfId="0" applyFont="1" applyFill="1" applyBorder="1" applyAlignment="1">
      <alignment horizontal="left" vertical="center" wrapText="1"/>
    </xf>
    <xf numFmtId="179" fontId="8" fillId="7" borderId="1" xfId="0" applyNumberFormat="1" applyFont="1" applyFill="1" applyBorder="1" applyAlignment="1">
      <alignment horizontal="left" vertical="center" wrapText="1"/>
    </xf>
    <xf numFmtId="180" fontId="8" fillId="7" borderId="1" xfId="0" applyNumberFormat="1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top" wrapText="1"/>
    </xf>
    <xf numFmtId="3" fontId="5" fillId="4" borderId="1" xfId="0" applyNumberFormat="1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177" fontId="5" fillId="4" borderId="1" xfId="0" applyNumberFormat="1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top" wrapText="1"/>
    </xf>
    <xf numFmtId="179" fontId="5" fillId="4" borderId="1" xfId="0" applyNumberFormat="1" applyFont="1" applyFill="1" applyBorder="1" applyAlignment="1">
      <alignment horizontal="left" vertical="top" wrapText="1"/>
    </xf>
    <xf numFmtId="181" fontId="5" fillId="4" borderId="1" xfId="0" applyNumberFormat="1" applyFont="1" applyFill="1" applyBorder="1" applyAlignment="1">
      <alignment horizontal="left" vertical="top" wrapText="1"/>
    </xf>
    <xf numFmtId="0" fontId="8" fillId="9" borderId="1" xfId="0" applyFont="1" applyFill="1" applyBorder="1" applyAlignment="1">
      <alignment horizontal="left" vertical="top" wrapText="1"/>
    </xf>
    <xf numFmtId="0" fontId="5" fillId="9" borderId="1" xfId="0" applyFont="1" applyFill="1" applyBorder="1" applyAlignment="1">
      <alignment horizontal="left" vertical="top" wrapText="1"/>
    </xf>
    <xf numFmtId="0" fontId="5" fillId="6" borderId="1" xfId="0" applyFont="1" applyFill="1" applyBorder="1" applyAlignment="1">
      <alignment horizontal="left" vertical="top" wrapText="1"/>
    </xf>
    <xf numFmtId="179" fontId="5" fillId="9" borderId="1" xfId="0" applyNumberFormat="1" applyFont="1" applyFill="1" applyBorder="1" applyAlignment="1">
      <alignment horizontal="left" vertical="top" wrapText="1"/>
    </xf>
    <xf numFmtId="178" fontId="5" fillId="4" borderId="1" xfId="0" applyNumberFormat="1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0" fontId="1" fillId="0" borderId="0" xfId="0" applyFont="1" applyAlignment="1">
      <alignment vertical="center"/>
    </xf>
    <xf numFmtId="0" fontId="0" fillId="0" borderId="0" xfId="0"/>
    <xf numFmtId="0" fontId="2" fillId="7" borderId="0" xfId="0" applyFont="1" applyFill="1" applyAlignment="1">
      <alignment vertical="top" wrapText="1"/>
    </xf>
    <xf numFmtId="0" fontId="9" fillId="8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top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tm2026Sector1Notices" displayName="Gtm2026Sector1Notices" ref="A4:S40">
  <autoFilter ref="A4:S40" xr:uid="{00000000-0009-0000-0100-000001000000}"/>
  <tableColumns count="19">
    <tableColumn id="1" xr3:uid="{00000000-0010-0000-0000-000001000000}" name="사업영역"/>
    <tableColumn id="2" xr3:uid="{00000000-0010-0000-0000-000002000000}" name="공고명"/>
    <tableColumn id="3" xr3:uid="{00000000-0010-0000-0000-000003000000}" name="발주처"/>
    <tableColumn id="4" xr3:uid="{00000000-0010-0000-0000-000004000000}" name="예산(원)"/>
    <tableColumn id="5" xr3:uid="{00000000-0010-0000-0000-000005000000}" name="공고일"/>
    <tableColumn id="6" xr3:uid="{00000000-0010-0000-0000-000006000000}" name="마감"/>
    <tableColumn id="7" xr3:uid="{00000000-0010-0000-0000-000007000000}" name="상태"/>
    <tableColumn id="8" xr3:uid="{00000000-0010-0000-0000-000008000000}" name="낙찰기업"/>
    <tableColumn id="9" xr3:uid="{00000000-0010-0000-0000-000009000000}" name="진입 검토"/>
    <tableColumn id="10" xr3:uid="{00000000-0010-0000-0000-00000A000000}" name="진입 판단 근거"/>
    <tableColumn id="11" xr3:uid="{00000000-0010-0000-0000-00000B000000}" name="면허"/>
    <tableColumn id="12" xr3:uid="{00000000-0010-0000-0000-00000C000000}" name="직접생산확인"/>
    <tableColumn id="13" xr3:uid="{00000000-0010-0000-0000-00000D000000}" name="실적요건"/>
    <tableColumn id="14" xr3:uid="{00000000-0010-0000-0000-00000E000000}" name="공동수급"/>
    <tableColumn id="15" xr3:uid="{00000000-0010-0000-0000-00000F000000}" name="기업규모"/>
    <tableColumn id="16" xr3:uid="{00000000-0010-0000-0000-000010000000}" name="지역제한"/>
    <tableColumn id="17" xr3:uid="{00000000-0010-0000-0000-000011000000}" name="계약방법"/>
    <tableColumn id="18" xr3:uid="{00000000-0010-0000-0000-000012000000}" name="기타조건"/>
    <tableColumn id="19" xr3:uid="{00000000-0010-0000-0000-000013000000}" name="링크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Gtm2026Sector2Notices" displayName="Gtm2026Sector2Notices" ref="A43:S70">
  <autoFilter ref="A43:S70" xr:uid="{00000000-0009-0000-0100-000002000000}"/>
  <tableColumns count="19">
    <tableColumn id="1" xr3:uid="{00000000-0010-0000-0100-000001000000}" name="사업영역"/>
    <tableColumn id="2" xr3:uid="{00000000-0010-0000-0100-000002000000}" name="공고명"/>
    <tableColumn id="3" xr3:uid="{00000000-0010-0000-0100-000003000000}" name="발주처"/>
    <tableColumn id="4" xr3:uid="{00000000-0010-0000-0100-000004000000}" name="예산(원)"/>
    <tableColumn id="5" xr3:uid="{00000000-0010-0000-0100-000005000000}" name="공고일"/>
    <tableColumn id="6" xr3:uid="{00000000-0010-0000-0100-000006000000}" name="마감"/>
    <tableColumn id="7" xr3:uid="{00000000-0010-0000-0100-000007000000}" name="상태"/>
    <tableColumn id="8" xr3:uid="{00000000-0010-0000-0100-000008000000}" name="낙찰기업"/>
    <tableColumn id="9" xr3:uid="{00000000-0010-0000-0100-000009000000}" name="진입 검토"/>
    <tableColumn id="10" xr3:uid="{00000000-0010-0000-0100-00000A000000}" name="진입 판단 근거"/>
    <tableColumn id="11" xr3:uid="{00000000-0010-0000-0100-00000B000000}" name="면허"/>
    <tableColumn id="12" xr3:uid="{00000000-0010-0000-0100-00000C000000}" name="직접생산확인"/>
    <tableColumn id="13" xr3:uid="{00000000-0010-0000-0100-00000D000000}" name="실적요건"/>
    <tableColumn id="14" xr3:uid="{00000000-0010-0000-0100-00000E000000}" name="공동수급"/>
    <tableColumn id="15" xr3:uid="{00000000-0010-0000-0100-00000F000000}" name="기업규모"/>
    <tableColumn id="16" xr3:uid="{00000000-0010-0000-0100-000010000000}" name="지역제한"/>
    <tableColumn id="17" xr3:uid="{00000000-0010-0000-0100-000011000000}" name="계약방법"/>
    <tableColumn id="18" xr3:uid="{00000000-0010-0000-0100-000012000000}" name="기타조건"/>
    <tableColumn id="19" xr3:uid="{00000000-0010-0000-0100-000013000000}" name="링크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Gtm2026Sector3Notices" displayName="Gtm2026Sector3Notices" ref="A73:S140">
  <autoFilter ref="A73:S140" xr:uid="{00000000-0009-0000-0100-000003000000}"/>
  <tableColumns count="19">
    <tableColumn id="1" xr3:uid="{00000000-0010-0000-0200-000001000000}" name="사업영역"/>
    <tableColumn id="2" xr3:uid="{00000000-0010-0000-0200-000002000000}" name="공고명"/>
    <tableColumn id="3" xr3:uid="{00000000-0010-0000-0200-000003000000}" name="발주처"/>
    <tableColumn id="4" xr3:uid="{00000000-0010-0000-0200-000004000000}" name="예산(원)"/>
    <tableColumn id="5" xr3:uid="{00000000-0010-0000-0200-000005000000}" name="공고일"/>
    <tableColumn id="6" xr3:uid="{00000000-0010-0000-0200-000006000000}" name="마감"/>
    <tableColumn id="7" xr3:uid="{00000000-0010-0000-0200-000007000000}" name="상태"/>
    <tableColumn id="8" xr3:uid="{00000000-0010-0000-0200-000008000000}" name="낙찰기업"/>
    <tableColumn id="9" xr3:uid="{00000000-0010-0000-0200-000009000000}" name="진입 검토"/>
    <tableColumn id="10" xr3:uid="{00000000-0010-0000-0200-00000A000000}" name="진입 판단 근거"/>
    <tableColumn id="11" xr3:uid="{00000000-0010-0000-0200-00000B000000}" name="면허"/>
    <tableColumn id="12" xr3:uid="{00000000-0010-0000-0200-00000C000000}" name="직접생산확인"/>
    <tableColumn id="13" xr3:uid="{00000000-0010-0000-0200-00000D000000}" name="실적요건"/>
    <tableColumn id="14" xr3:uid="{00000000-0010-0000-0200-00000E000000}" name="공동수급"/>
    <tableColumn id="15" xr3:uid="{00000000-0010-0000-0200-00000F000000}" name="기업규모"/>
    <tableColumn id="16" xr3:uid="{00000000-0010-0000-0200-000010000000}" name="지역제한"/>
    <tableColumn id="17" xr3:uid="{00000000-0010-0000-0200-000011000000}" name="계약방법"/>
    <tableColumn id="18" xr3:uid="{00000000-0010-0000-0200-000012000000}" name="기타조건"/>
    <tableColumn id="19" xr3:uid="{00000000-0010-0000-0200-000013000000}" name="링크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Gtm2025Sector1Notices" displayName="Gtm2025Sector1Notices" ref="A4:S69">
  <autoFilter ref="A4:S69" xr:uid="{00000000-0009-0000-0100-000004000000}"/>
  <tableColumns count="19">
    <tableColumn id="1" xr3:uid="{00000000-0010-0000-0300-000001000000}" name="사업영역"/>
    <tableColumn id="2" xr3:uid="{00000000-0010-0000-0300-000002000000}" name="공고명"/>
    <tableColumn id="3" xr3:uid="{00000000-0010-0000-0300-000003000000}" name="발주처"/>
    <tableColumn id="4" xr3:uid="{00000000-0010-0000-0300-000004000000}" name="예산(원)"/>
    <tableColumn id="5" xr3:uid="{00000000-0010-0000-0300-000005000000}" name="공고일"/>
    <tableColumn id="6" xr3:uid="{00000000-0010-0000-0300-000006000000}" name="마감"/>
    <tableColumn id="7" xr3:uid="{00000000-0010-0000-0300-000007000000}" name="상태"/>
    <tableColumn id="8" xr3:uid="{00000000-0010-0000-0300-000008000000}" name="낙찰기업"/>
    <tableColumn id="9" xr3:uid="{00000000-0010-0000-0300-000009000000}" name="진입 검토"/>
    <tableColumn id="10" xr3:uid="{00000000-0010-0000-0300-00000A000000}" name="진입 판단 근거"/>
    <tableColumn id="11" xr3:uid="{00000000-0010-0000-0300-00000B000000}" name="면허"/>
    <tableColumn id="12" xr3:uid="{00000000-0010-0000-0300-00000C000000}" name="직접생산확인"/>
    <tableColumn id="13" xr3:uid="{00000000-0010-0000-0300-00000D000000}" name="실적요건"/>
    <tableColumn id="14" xr3:uid="{00000000-0010-0000-0300-00000E000000}" name="공동수급"/>
    <tableColumn id="15" xr3:uid="{00000000-0010-0000-0300-00000F000000}" name="기업규모"/>
    <tableColumn id="16" xr3:uid="{00000000-0010-0000-0300-000010000000}" name="지역제한"/>
    <tableColumn id="17" xr3:uid="{00000000-0010-0000-0300-000011000000}" name="계약방법"/>
    <tableColumn id="18" xr3:uid="{00000000-0010-0000-0300-000012000000}" name="기타조건"/>
    <tableColumn id="19" xr3:uid="{00000000-0010-0000-0300-000013000000}" name="링크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tm2025Sector2Notices" displayName="Gtm2025Sector2Notices" ref="A72:S105">
  <autoFilter ref="A72:S105" xr:uid="{00000000-0009-0000-0100-000005000000}"/>
  <tableColumns count="19">
    <tableColumn id="1" xr3:uid="{00000000-0010-0000-0400-000001000000}" name="사업영역"/>
    <tableColumn id="2" xr3:uid="{00000000-0010-0000-0400-000002000000}" name="공고명"/>
    <tableColumn id="3" xr3:uid="{00000000-0010-0000-0400-000003000000}" name="발주처"/>
    <tableColumn id="4" xr3:uid="{00000000-0010-0000-0400-000004000000}" name="예산(원)"/>
    <tableColumn id="5" xr3:uid="{00000000-0010-0000-0400-000005000000}" name="공고일"/>
    <tableColumn id="6" xr3:uid="{00000000-0010-0000-0400-000006000000}" name="마감"/>
    <tableColumn id="7" xr3:uid="{00000000-0010-0000-0400-000007000000}" name="상태"/>
    <tableColumn id="8" xr3:uid="{00000000-0010-0000-0400-000008000000}" name="낙찰기업"/>
    <tableColumn id="9" xr3:uid="{00000000-0010-0000-0400-000009000000}" name="진입 검토"/>
    <tableColumn id="10" xr3:uid="{00000000-0010-0000-0400-00000A000000}" name="진입 판단 근거"/>
    <tableColumn id="11" xr3:uid="{00000000-0010-0000-0400-00000B000000}" name="면허"/>
    <tableColumn id="12" xr3:uid="{00000000-0010-0000-0400-00000C000000}" name="직접생산확인"/>
    <tableColumn id="13" xr3:uid="{00000000-0010-0000-0400-00000D000000}" name="실적요건"/>
    <tableColumn id="14" xr3:uid="{00000000-0010-0000-0400-00000E000000}" name="공동수급"/>
    <tableColumn id="15" xr3:uid="{00000000-0010-0000-0400-00000F000000}" name="기업규모"/>
    <tableColumn id="16" xr3:uid="{00000000-0010-0000-0400-000010000000}" name="지역제한"/>
    <tableColumn id="17" xr3:uid="{00000000-0010-0000-0400-000011000000}" name="계약방법"/>
    <tableColumn id="18" xr3:uid="{00000000-0010-0000-0400-000012000000}" name="기타조건"/>
    <tableColumn id="19" xr3:uid="{00000000-0010-0000-0400-000013000000}" name="링크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Gtm2025Sector3Notices" displayName="Gtm2025Sector3Notices" ref="A108:S185">
  <autoFilter ref="A108:S185" xr:uid="{00000000-0009-0000-0100-000006000000}"/>
  <tableColumns count="19">
    <tableColumn id="1" xr3:uid="{00000000-0010-0000-0500-000001000000}" name="사업영역"/>
    <tableColumn id="2" xr3:uid="{00000000-0010-0000-0500-000002000000}" name="공고명"/>
    <tableColumn id="3" xr3:uid="{00000000-0010-0000-0500-000003000000}" name="발주처"/>
    <tableColumn id="4" xr3:uid="{00000000-0010-0000-0500-000004000000}" name="예산(원)"/>
    <tableColumn id="5" xr3:uid="{00000000-0010-0000-0500-000005000000}" name="공고일"/>
    <tableColumn id="6" xr3:uid="{00000000-0010-0000-0500-000006000000}" name="마감"/>
    <tableColumn id="7" xr3:uid="{00000000-0010-0000-0500-000007000000}" name="상태"/>
    <tableColumn id="8" xr3:uid="{00000000-0010-0000-0500-000008000000}" name="낙찰기업"/>
    <tableColumn id="9" xr3:uid="{00000000-0010-0000-0500-000009000000}" name="진입 검토"/>
    <tableColumn id="10" xr3:uid="{00000000-0010-0000-0500-00000A000000}" name="진입 판단 근거"/>
    <tableColumn id="11" xr3:uid="{00000000-0010-0000-0500-00000B000000}" name="면허"/>
    <tableColumn id="12" xr3:uid="{00000000-0010-0000-0500-00000C000000}" name="직접생산확인"/>
    <tableColumn id="13" xr3:uid="{00000000-0010-0000-0500-00000D000000}" name="실적요건"/>
    <tableColumn id="14" xr3:uid="{00000000-0010-0000-0500-00000E000000}" name="공동수급"/>
    <tableColumn id="15" xr3:uid="{00000000-0010-0000-0500-00000F000000}" name="기업규모"/>
    <tableColumn id="16" xr3:uid="{00000000-0010-0000-0500-000010000000}" name="지역제한"/>
    <tableColumn id="17" xr3:uid="{00000000-0010-0000-0500-000011000000}" name="계약방법"/>
    <tableColumn id="18" xr3:uid="{00000000-0010-0000-0500-000012000000}" name="기타조건"/>
    <tableColumn id="19" xr3:uid="{00000000-0010-0000-0500-000013000000}" name="링크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Gtm2024Sector1Notices" displayName="Gtm2024Sector1Notices" ref="A4:S63">
  <autoFilter ref="A4:S63" xr:uid="{00000000-0009-0000-0100-000007000000}"/>
  <tableColumns count="19">
    <tableColumn id="1" xr3:uid="{00000000-0010-0000-0600-000001000000}" name="사업영역"/>
    <tableColumn id="2" xr3:uid="{00000000-0010-0000-0600-000002000000}" name="공고명"/>
    <tableColumn id="3" xr3:uid="{00000000-0010-0000-0600-000003000000}" name="발주처"/>
    <tableColumn id="4" xr3:uid="{00000000-0010-0000-0600-000004000000}" name="예산(원)"/>
    <tableColumn id="5" xr3:uid="{00000000-0010-0000-0600-000005000000}" name="공고일"/>
    <tableColumn id="6" xr3:uid="{00000000-0010-0000-0600-000006000000}" name="마감"/>
    <tableColumn id="7" xr3:uid="{00000000-0010-0000-0600-000007000000}" name="상태"/>
    <tableColumn id="8" xr3:uid="{00000000-0010-0000-0600-000008000000}" name="낙찰기업"/>
    <tableColumn id="9" xr3:uid="{00000000-0010-0000-0600-000009000000}" name="진입 검토"/>
    <tableColumn id="10" xr3:uid="{00000000-0010-0000-0600-00000A000000}" name="진입 판단 근거"/>
    <tableColumn id="11" xr3:uid="{00000000-0010-0000-0600-00000B000000}" name="면허"/>
    <tableColumn id="12" xr3:uid="{00000000-0010-0000-0600-00000C000000}" name="직접생산확인"/>
    <tableColumn id="13" xr3:uid="{00000000-0010-0000-0600-00000D000000}" name="실적요건"/>
    <tableColumn id="14" xr3:uid="{00000000-0010-0000-0600-00000E000000}" name="공동수급"/>
    <tableColumn id="15" xr3:uid="{00000000-0010-0000-0600-00000F000000}" name="기업규모"/>
    <tableColumn id="16" xr3:uid="{00000000-0010-0000-0600-000010000000}" name="지역제한"/>
    <tableColumn id="17" xr3:uid="{00000000-0010-0000-0600-000011000000}" name="계약방법"/>
    <tableColumn id="18" xr3:uid="{00000000-0010-0000-0600-000012000000}" name="기타조건"/>
    <tableColumn id="19" xr3:uid="{00000000-0010-0000-0600-000013000000}" name="링크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Gtm2024Sector2Notices" displayName="Gtm2024Sector2Notices" ref="A66:S110">
  <autoFilter ref="A66:S110" xr:uid="{00000000-0009-0000-0100-000008000000}"/>
  <tableColumns count="19">
    <tableColumn id="1" xr3:uid="{00000000-0010-0000-0700-000001000000}" name="사업영역"/>
    <tableColumn id="2" xr3:uid="{00000000-0010-0000-0700-000002000000}" name="공고명"/>
    <tableColumn id="3" xr3:uid="{00000000-0010-0000-0700-000003000000}" name="발주처"/>
    <tableColumn id="4" xr3:uid="{00000000-0010-0000-0700-000004000000}" name="예산(원)"/>
    <tableColumn id="5" xr3:uid="{00000000-0010-0000-0700-000005000000}" name="공고일"/>
    <tableColumn id="6" xr3:uid="{00000000-0010-0000-0700-000006000000}" name="마감"/>
    <tableColumn id="7" xr3:uid="{00000000-0010-0000-0700-000007000000}" name="상태"/>
    <tableColumn id="8" xr3:uid="{00000000-0010-0000-0700-000008000000}" name="낙찰기업"/>
    <tableColumn id="9" xr3:uid="{00000000-0010-0000-0700-000009000000}" name="진입 검토"/>
    <tableColumn id="10" xr3:uid="{00000000-0010-0000-0700-00000A000000}" name="진입 판단 근거"/>
    <tableColumn id="11" xr3:uid="{00000000-0010-0000-0700-00000B000000}" name="면허"/>
    <tableColumn id="12" xr3:uid="{00000000-0010-0000-0700-00000C000000}" name="직접생산확인"/>
    <tableColumn id="13" xr3:uid="{00000000-0010-0000-0700-00000D000000}" name="실적요건"/>
    <tableColumn id="14" xr3:uid="{00000000-0010-0000-0700-00000E000000}" name="공동수급"/>
    <tableColumn id="15" xr3:uid="{00000000-0010-0000-0700-00000F000000}" name="기업규모"/>
    <tableColumn id="16" xr3:uid="{00000000-0010-0000-0700-000010000000}" name="지역제한"/>
    <tableColumn id="17" xr3:uid="{00000000-0010-0000-0700-000011000000}" name="계약방법"/>
    <tableColumn id="18" xr3:uid="{00000000-0010-0000-0700-000012000000}" name="기타조건"/>
    <tableColumn id="19" xr3:uid="{00000000-0010-0000-0700-000013000000}" name="링크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tm2024Sector3Notices" displayName="Gtm2024Sector3Notices" ref="A113:S182">
  <autoFilter ref="A113:S182" xr:uid="{00000000-0009-0000-0100-000009000000}"/>
  <tableColumns count="19">
    <tableColumn id="1" xr3:uid="{00000000-0010-0000-0800-000001000000}" name="사업영역"/>
    <tableColumn id="2" xr3:uid="{00000000-0010-0000-0800-000002000000}" name="공고명"/>
    <tableColumn id="3" xr3:uid="{00000000-0010-0000-0800-000003000000}" name="발주처"/>
    <tableColumn id="4" xr3:uid="{00000000-0010-0000-0800-000004000000}" name="예산(원)"/>
    <tableColumn id="5" xr3:uid="{00000000-0010-0000-0800-000005000000}" name="공고일"/>
    <tableColumn id="6" xr3:uid="{00000000-0010-0000-0800-000006000000}" name="마감"/>
    <tableColumn id="7" xr3:uid="{00000000-0010-0000-0800-000007000000}" name="상태"/>
    <tableColumn id="8" xr3:uid="{00000000-0010-0000-0800-000008000000}" name="낙찰기업"/>
    <tableColumn id="9" xr3:uid="{00000000-0010-0000-0800-000009000000}" name="진입 검토"/>
    <tableColumn id="10" xr3:uid="{00000000-0010-0000-0800-00000A000000}" name="진입 판단 근거"/>
    <tableColumn id="11" xr3:uid="{00000000-0010-0000-0800-00000B000000}" name="면허"/>
    <tableColumn id="12" xr3:uid="{00000000-0010-0000-0800-00000C000000}" name="직접생산확인"/>
    <tableColumn id="13" xr3:uid="{00000000-0010-0000-0800-00000D000000}" name="실적요건"/>
    <tableColumn id="14" xr3:uid="{00000000-0010-0000-0800-00000E000000}" name="공동수급"/>
    <tableColumn id="15" xr3:uid="{00000000-0010-0000-0800-00000F000000}" name="기업규모"/>
    <tableColumn id="16" xr3:uid="{00000000-0010-0000-0800-000010000000}" name="지역제한"/>
    <tableColumn id="17" xr3:uid="{00000000-0010-0000-0800-000011000000}" name="계약방법"/>
    <tableColumn id="18" xr3:uid="{00000000-0010-0000-0800-000012000000}" name="기타조건"/>
    <tableColumn id="19" xr3:uid="{00000000-0010-0000-0800-000013000000}" name="링크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2b.go.kr/link/PNPE027_01/single/?bidPbancNo=R26BK01478530&amp;bidPbancOrd=000" TargetMode="External"/><Relationship Id="rId3" Type="http://schemas.openxmlformats.org/officeDocument/2006/relationships/hyperlink" Target="https://www.g2b.go.kr/link/PNPE027_01/single/?bidPbancNo=R26BK01643105&amp;bidPbancOrd=000" TargetMode="External"/><Relationship Id="rId7" Type="http://schemas.openxmlformats.org/officeDocument/2006/relationships/hyperlink" Target="https://www.g2b.go.kr/link/PNPE027_01/single/?bidPbancNo=R26BK01565106&amp;bidPbancOrd=000" TargetMode="External"/><Relationship Id="rId2" Type="http://schemas.openxmlformats.org/officeDocument/2006/relationships/hyperlink" Target="https://www.g2b.go.kr/link/PNPE027_01/single/?bidPbancNo=R26BK01615802&amp;bidPbancOrd=000" TargetMode="External"/><Relationship Id="rId1" Type="http://schemas.openxmlformats.org/officeDocument/2006/relationships/hyperlink" Target="https://www.g2b.go.kr/link/PNPE027_01/single/?bidPbancNo=20240927532&amp;bidPbancOrd=000" TargetMode="External"/><Relationship Id="rId6" Type="http://schemas.openxmlformats.org/officeDocument/2006/relationships/hyperlink" Target="https://www.g2b.go.kr/link/PNPE027_01/single/?bidPbancNo=R26BK01631256&amp;bidPbancOrd=000" TargetMode="External"/><Relationship Id="rId5" Type="http://schemas.openxmlformats.org/officeDocument/2006/relationships/hyperlink" Target="https://www.g2b.go.kr/link/PNPE027_01/single/?bidPbancNo=R25BK01101075&amp;bidPbancOrd=000" TargetMode="External"/><Relationship Id="rId4" Type="http://schemas.openxmlformats.org/officeDocument/2006/relationships/hyperlink" Target="https://www.g2b.go.kr/link/PNPE027_01/single/?bidPbancNo=20240813855&amp;bidPbancOrd=001" TargetMode="External"/><Relationship Id="rId9" Type="http://schemas.openxmlformats.org/officeDocument/2006/relationships/hyperlink" Target="https://www.g2b.go.kr/link/PNPE027_01/single/?bidPbancNo=R26BK01631661&amp;bidPbancOrd=001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2b.go.kr/link/PNPE027_01/single/?bidPbancNo=R25BK00603339&amp;bidPbancOrd=000" TargetMode="External"/><Relationship Id="rId299" Type="http://schemas.openxmlformats.org/officeDocument/2006/relationships/hyperlink" Target="https://www.g2b.go.kr/link/PNPE027_01/single/?bidPbancNo=R25BK00944496&amp;bidPbancOrd=000" TargetMode="External"/><Relationship Id="rId21" Type="http://schemas.openxmlformats.org/officeDocument/2006/relationships/hyperlink" Target="https://www.g2b.go.kr/link/PNPE027_01/single/?bidPbancNo=R25BK00789491&amp;bidPbancOrd=000" TargetMode="External"/><Relationship Id="rId63" Type="http://schemas.openxmlformats.org/officeDocument/2006/relationships/hyperlink" Target="https://www.g2b.go.kr/link/PNPE027_01/single/?bidPbancNo=R25BK00751811&amp;bidPbancOrd=002" TargetMode="External"/><Relationship Id="rId159" Type="http://schemas.openxmlformats.org/officeDocument/2006/relationships/hyperlink" Target="https://www.g2b.go.kr/link/PNPE027_01/single/?bidPbancNo=20240342762&amp;bidPbancOrd=000" TargetMode="External"/><Relationship Id="rId324" Type="http://schemas.openxmlformats.org/officeDocument/2006/relationships/hyperlink" Target="https://www.g2b.go.kr/link/PNPE027_01/single/?bidPbancNo=20240801302&amp;bidPbancOrd=000" TargetMode="External"/><Relationship Id="rId366" Type="http://schemas.openxmlformats.org/officeDocument/2006/relationships/hyperlink" Target="https://www.g2b.go.kr/link/PNPE027_01/single/?bidPbancNo=R25BK00569820&amp;bidPbancOrd=000" TargetMode="External"/><Relationship Id="rId170" Type="http://schemas.openxmlformats.org/officeDocument/2006/relationships/hyperlink" Target="https://www.g2b.go.kr/link/PNPE027_01/single/?bidPbancNo=20241001199&amp;bidPbancOrd=000" TargetMode="External"/><Relationship Id="rId226" Type="http://schemas.openxmlformats.org/officeDocument/2006/relationships/hyperlink" Target="https://www.g2b.go.kr/link/PNPE027_01/single/?bidPbancNo=R25BK00569820&amp;bidPbancOrd=000" TargetMode="External"/><Relationship Id="rId268" Type="http://schemas.openxmlformats.org/officeDocument/2006/relationships/hyperlink" Target="https://www.g2b.go.kr/link/PNPE027_01/single/?bidPbancNo=R26BK01312116&amp;bidPbancOrd=000" TargetMode="External"/><Relationship Id="rId32" Type="http://schemas.openxmlformats.org/officeDocument/2006/relationships/hyperlink" Target="https://www.g2b.go.kr/link/PNPE027_01/single/?bidPbancNo=20240529557&amp;bidPbancOrd=000" TargetMode="External"/><Relationship Id="rId74" Type="http://schemas.openxmlformats.org/officeDocument/2006/relationships/hyperlink" Target="https://www.g2b.go.kr/link/PNPE027_01/single/?bidPbancNo=20240505489&amp;bidPbancOrd=000" TargetMode="External"/><Relationship Id="rId128" Type="http://schemas.openxmlformats.org/officeDocument/2006/relationships/hyperlink" Target="https://www.g2b.go.kr/link/PNPE027_01/single/?bidPbancNo=R26BK01414553&amp;bidPbancOrd=000" TargetMode="External"/><Relationship Id="rId335" Type="http://schemas.openxmlformats.org/officeDocument/2006/relationships/hyperlink" Target="https://www.g2b.go.kr/link/PNPE027_01/single/?bidPbancNo=R25BK00569820&amp;bidPbancOrd=000" TargetMode="External"/><Relationship Id="rId5" Type="http://schemas.openxmlformats.org/officeDocument/2006/relationships/hyperlink" Target="https://www.g2b.go.kr/link/PNPE027_01/single/?bidPbancNo=R26BK01425528&amp;bidPbancOrd=002" TargetMode="External"/><Relationship Id="rId181" Type="http://schemas.openxmlformats.org/officeDocument/2006/relationships/hyperlink" Target="https://www.g2b.go.kr/link/PNPE027_01/single/?bidPbancNo=R26BK01311987&amp;bidPbancOrd=000" TargetMode="External"/><Relationship Id="rId237" Type="http://schemas.openxmlformats.org/officeDocument/2006/relationships/hyperlink" Target="https://www.g2b.go.kr/link/PNPE027_01/single/?bidPbancNo=R25BK00781454&amp;bidPbancOrd=000" TargetMode="External"/><Relationship Id="rId279" Type="http://schemas.openxmlformats.org/officeDocument/2006/relationships/hyperlink" Target="https://www.g2b.go.kr/link/PNPE027_01/single/?bidPbancNo=R25BK00860970&amp;bidPbancOrd=000" TargetMode="External"/><Relationship Id="rId43" Type="http://schemas.openxmlformats.org/officeDocument/2006/relationships/hyperlink" Target="https://www.g2b.go.kr/link/PNPE027_01/single/?bidPbancNo=R26BK01565106&amp;bidPbancOrd=000" TargetMode="External"/><Relationship Id="rId139" Type="http://schemas.openxmlformats.org/officeDocument/2006/relationships/hyperlink" Target="https://www.g2b.go.kr/link/PNPE027_01/single/?bidPbancNo=R25BK00700441&amp;bidPbancOrd=000" TargetMode="External"/><Relationship Id="rId290" Type="http://schemas.openxmlformats.org/officeDocument/2006/relationships/hyperlink" Target="https://www.g2b.go.kr/link/PNPE027_01/single/?bidPbancNo=R25BK00823931&amp;bidPbancOrd=000" TargetMode="External"/><Relationship Id="rId304" Type="http://schemas.openxmlformats.org/officeDocument/2006/relationships/hyperlink" Target="https://www.g2b.go.kr/link/PNPE027_01/single/?bidPbancNo=R25BK00769814&amp;bidPbancOrd=000" TargetMode="External"/><Relationship Id="rId346" Type="http://schemas.openxmlformats.org/officeDocument/2006/relationships/hyperlink" Target="https://www.g2b.go.kr/link/PNPE027_01/single/?bidPbancNo=R26BK01414553&amp;bidPbancOrd=000" TargetMode="External"/><Relationship Id="rId85" Type="http://schemas.openxmlformats.org/officeDocument/2006/relationships/hyperlink" Target="https://www.g2b.go.kr/link/PNPE027_01/single/?bidPbancNo=R26BK01323636&amp;bidPbancOrd=000" TargetMode="External"/><Relationship Id="rId150" Type="http://schemas.openxmlformats.org/officeDocument/2006/relationships/hyperlink" Target="https://www.g2b.go.kr/link/PNPE027_01/single/?bidPbancNo=R26BK01385582&amp;bidPbancOrd=000" TargetMode="External"/><Relationship Id="rId192" Type="http://schemas.openxmlformats.org/officeDocument/2006/relationships/hyperlink" Target="https://www.g2b.go.kr/link/PNPE027_01/single/?bidPbancNo=20240204144&amp;bidPbancOrd=000" TargetMode="External"/><Relationship Id="rId206" Type="http://schemas.openxmlformats.org/officeDocument/2006/relationships/hyperlink" Target="https://www.g2b.go.kr/link/PNPE027_01/single/?bidPbancNo=R26BK01345249&amp;bidPbancOrd=000" TargetMode="External"/><Relationship Id="rId248" Type="http://schemas.openxmlformats.org/officeDocument/2006/relationships/hyperlink" Target="https://www.g2b.go.kr/link/PNPE027_01/single/?bidPbancNo=20240516610&amp;bidPbancOrd=000" TargetMode="External"/><Relationship Id="rId12" Type="http://schemas.openxmlformats.org/officeDocument/2006/relationships/hyperlink" Target="https://www.g2b.go.kr/link/PNPE027_01/single/?bidPbancNo=R26BK01308919&amp;bidPbancOrd=000" TargetMode="External"/><Relationship Id="rId108" Type="http://schemas.openxmlformats.org/officeDocument/2006/relationships/hyperlink" Target="https://www.g2b.go.kr/link/PNPE027_01/single/?bidPbancNo=R26BK01385582&amp;bidPbancOrd=000" TargetMode="External"/><Relationship Id="rId315" Type="http://schemas.openxmlformats.org/officeDocument/2006/relationships/hyperlink" Target="https://www.g2b.go.kr/link/PNPE027_01/single/?bidPbancNo=R25BK00968131&amp;bidPbancOrd=000" TargetMode="External"/><Relationship Id="rId357" Type="http://schemas.openxmlformats.org/officeDocument/2006/relationships/hyperlink" Target="https://www.g2b.go.kr/link/PNPE027_01/single/?bidPbancNo=R26BK01323636&amp;bidPbancOrd=000" TargetMode="External"/><Relationship Id="rId54" Type="http://schemas.openxmlformats.org/officeDocument/2006/relationships/hyperlink" Target="https://www.g2b.go.kr/link/PNPE027_01/single/?bidPbancNo=R25BK01013002&amp;bidPbancOrd=000" TargetMode="External"/><Relationship Id="rId96" Type="http://schemas.openxmlformats.org/officeDocument/2006/relationships/hyperlink" Target="https://www.g2b.go.kr/link/PNPE027_01/single/?bidPbancNo=R25BK00628001&amp;bidPbancOrd=000" TargetMode="External"/><Relationship Id="rId161" Type="http://schemas.openxmlformats.org/officeDocument/2006/relationships/hyperlink" Target="https://www.g2b.go.kr/link/PNPE027_01/single/?bidPbancNo=20240221311&amp;bidPbancOrd=000" TargetMode="External"/><Relationship Id="rId217" Type="http://schemas.openxmlformats.org/officeDocument/2006/relationships/hyperlink" Target="https://www.g2b.go.kr/link/PNPE027_01/single/?bidPbancNo=20240204144&amp;bidPbancOrd=000" TargetMode="External"/><Relationship Id="rId259" Type="http://schemas.openxmlformats.org/officeDocument/2006/relationships/hyperlink" Target="https://www.g2b.go.kr/link/PNPE027_01/single/?bidPbancNo=R26BK01515770&amp;bidPbancOrd=000" TargetMode="External"/><Relationship Id="rId23" Type="http://schemas.openxmlformats.org/officeDocument/2006/relationships/hyperlink" Target="https://www.g2b.go.kr/link/PNPE027_01/single/?bidPbancNo=R25BK00691749&amp;bidPbancOrd=000" TargetMode="External"/><Relationship Id="rId119" Type="http://schemas.openxmlformats.org/officeDocument/2006/relationships/hyperlink" Target="https://www.g2b.go.kr/link/PNPE027_01/single/?bidPbancNo=20241001199&amp;bidPbancOrd=000" TargetMode="External"/><Relationship Id="rId270" Type="http://schemas.openxmlformats.org/officeDocument/2006/relationships/hyperlink" Target="https://www.g2b.go.kr/link/PNPE027_01/single/?bidPbancNo=R25BK00815150&amp;bidPbancOrd=000" TargetMode="External"/><Relationship Id="rId326" Type="http://schemas.openxmlformats.org/officeDocument/2006/relationships/hyperlink" Target="https://www.g2b.go.kr/link/PNPE027_01/single/?bidPbancNo=R26BK01489660&amp;bidPbancOrd=000" TargetMode="External"/><Relationship Id="rId65" Type="http://schemas.openxmlformats.org/officeDocument/2006/relationships/hyperlink" Target="https://www.g2b.go.kr/link/PNPE027_01/single/?bidPbancNo=R25BK00739693&amp;bidPbancOrd=000" TargetMode="External"/><Relationship Id="rId130" Type="http://schemas.openxmlformats.org/officeDocument/2006/relationships/hyperlink" Target="https://www.g2b.go.kr/link/PNPE027_01/single/?bidPbancNo=R26BK01345183&amp;bidPbancOrd=000" TargetMode="External"/><Relationship Id="rId368" Type="http://schemas.openxmlformats.org/officeDocument/2006/relationships/hyperlink" Target="https://www.g2b.go.kr/link/PNPE027_01/single/?bidPbancNo=20240301632&amp;bidPbancOrd=000" TargetMode="External"/><Relationship Id="rId172" Type="http://schemas.openxmlformats.org/officeDocument/2006/relationships/hyperlink" Target="https://www.g2b.go.kr/link/PNPE027_01/single/?bidPbancNo=20240425337&amp;bidPbancOrd=000" TargetMode="External"/><Relationship Id="rId228" Type="http://schemas.openxmlformats.org/officeDocument/2006/relationships/hyperlink" Target="https://www.g2b.go.kr/link/PNPE027_01/single/?bidPbancNo=20240320111&amp;bidPbancOrd=000" TargetMode="External"/><Relationship Id="rId281" Type="http://schemas.openxmlformats.org/officeDocument/2006/relationships/hyperlink" Target="https://www.g2b.go.kr/link/PNPE027_01/single/?bidPbancNo=R25BK00812059&amp;bidPbancOrd=000" TargetMode="External"/><Relationship Id="rId337" Type="http://schemas.openxmlformats.org/officeDocument/2006/relationships/hyperlink" Target="https://www.g2b.go.kr/link/PNPE027_01/single/?bidPbancNo=20240301632&amp;bidPbancOrd=000" TargetMode="External"/><Relationship Id="rId34" Type="http://schemas.openxmlformats.org/officeDocument/2006/relationships/hyperlink" Target="https://www.g2b.go.kr/link/PNPE027_01/single/?bidPbancNo=20240406360&amp;bidPbancOrd=000" TargetMode="External"/><Relationship Id="rId76" Type="http://schemas.openxmlformats.org/officeDocument/2006/relationships/hyperlink" Target="https://www.g2b.go.kr/link/PNPE027_01/single/?bidPbancNo=20240417867&amp;bidPbancOrd=000" TargetMode="External"/><Relationship Id="rId141" Type="http://schemas.openxmlformats.org/officeDocument/2006/relationships/hyperlink" Target="https://www.g2b.go.kr/link/PNPE027_01/single/?bidPbancNo=R25BK00612412&amp;bidPbancOrd=000" TargetMode="External"/><Relationship Id="rId7" Type="http://schemas.openxmlformats.org/officeDocument/2006/relationships/hyperlink" Target="https://www.g2b.go.kr/link/PNPE027_01/single/?bidPbancNo=R26BK01425609&amp;bidPbancOrd=001" TargetMode="External"/><Relationship Id="rId183" Type="http://schemas.openxmlformats.org/officeDocument/2006/relationships/hyperlink" Target="https://www.g2b.go.kr/link/PNPE027_01/single/?bidPbancNo=R25BK00866999&amp;bidPbancOrd=000" TargetMode="External"/><Relationship Id="rId239" Type="http://schemas.openxmlformats.org/officeDocument/2006/relationships/hyperlink" Target="https://www.g2b.go.kr/link/PNPE027_01/single/?bidPbancNo=20240343266&amp;bidPbancOrd=000" TargetMode="External"/><Relationship Id="rId250" Type="http://schemas.openxmlformats.org/officeDocument/2006/relationships/hyperlink" Target="https://www.g2b.go.kr/link/PNPE027_01/single/?bidPbancNo=R26BK01345249&amp;bidPbancOrd=000" TargetMode="External"/><Relationship Id="rId292" Type="http://schemas.openxmlformats.org/officeDocument/2006/relationships/hyperlink" Target="https://www.g2b.go.kr/link/PNPE027_01/single/?bidPbancNo=20240534714&amp;bidPbancOrd=000" TargetMode="External"/><Relationship Id="rId306" Type="http://schemas.openxmlformats.org/officeDocument/2006/relationships/hyperlink" Target="https://www.g2b.go.kr/link/PNPE027_01/single/?bidPbancNo=20240718639&amp;bidPbancOrd=000" TargetMode="External"/><Relationship Id="rId45" Type="http://schemas.openxmlformats.org/officeDocument/2006/relationships/hyperlink" Target="https://www.g2b.go.kr/link/PNPE027_01/single/?bidPbancNo=R26BK01474710&amp;bidPbancOrd=000" TargetMode="External"/><Relationship Id="rId87" Type="http://schemas.openxmlformats.org/officeDocument/2006/relationships/hyperlink" Target="https://www.g2b.go.kr/link/PNPE027_01/single/?bidPbancNo=R25BK01207877&amp;bidPbancOrd=001" TargetMode="External"/><Relationship Id="rId110" Type="http://schemas.openxmlformats.org/officeDocument/2006/relationships/hyperlink" Target="https://www.g2b.go.kr/link/PNPE027_01/single/?bidPbancNo=R25BK01211565&amp;bidPbancOrd=000" TargetMode="External"/><Relationship Id="rId348" Type="http://schemas.openxmlformats.org/officeDocument/2006/relationships/hyperlink" Target="https://www.g2b.go.kr/link/PNPE027_01/single/?bidPbancNo=R25BK00817312&amp;bidPbancOrd=000" TargetMode="External"/><Relationship Id="rId152" Type="http://schemas.openxmlformats.org/officeDocument/2006/relationships/hyperlink" Target="https://www.g2b.go.kr/link/PNPE027_01/single/?bidPbancNo=R26BK01308919&amp;bidPbancOrd=000" TargetMode="External"/><Relationship Id="rId194" Type="http://schemas.openxmlformats.org/officeDocument/2006/relationships/hyperlink" Target="https://www.g2b.go.kr/link/PNPE027_01/single/?bidPbancNo=R26BK01312116&amp;bidPbancOrd=000" TargetMode="External"/><Relationship Id="rId208" Type="http://schemas.openxmlformats.org/officeDocument/2006/relationships/hyperlink" Target="https://www.g2b.go.kr/link/PNPE027_01/single/?bidPbancNo=R25BK00812059&amp;bidPbancOrd=000" TargetMode="External"/><Relationship Id="rId261" Type="http://schemas.openxmlformats.org/officeDocument/2006/relationships/hyperlink" Target="https://www.g2b.go.kr/link/PNPE027_01/single/?bidPbancNo=R26BK01417516&amp;bidPbancOrd=000" TargetMode="External"/><Relationship Id="rId14" Type="http://schemas.openxmlformats.org/officeDocument/2006/relationships/hyperlink" Target="https://www.g2b.go.kr/link/PNPE027_01/single/?bidPbancNo=R25BK01207877&amp;bidPbancOrd=001" TargetMode="External"/><Relationship Id="rId56" Type="http://schemas.openxmlformats.org/officeDocument/2006/relationships/hyperlink" Target="https://www.g2b.go.kr/link/PNPE027_01/single/?bidPbancNo=R25BK00890729&amp;bidPbancOrd=000" TargetMode="External"/><Relationship Id="rId317" Type="http://schemas.openxmlformats.org/officeDocument/2006/relationships/hyperlink" Target="https://www.g2b.go.kr/link/PNPE027_01/single/?bidPbancNo=20240204144&amp;bidPbancOrd=000" TargetMode="External"/><Relationship Id="rId359" Type="http://schemas.openxmlformats.org/officeDocument/2006/relationships/hyperlink" Target="https://www.g2b.go.kr/link/PNPE027_01/single/?bidPbancNo=R25BK00594568&amp;bidPbancOrd=001" TargetMode="External"/><Relationship Id="rId98" Type="http://schemas.openxmlformats.org/officeDocument/2006/relationships/hyperlink" Target="https://www.g2b.go.kr/link/PNPE027_01/single/?bidPbancNo=R25BK00597544&amp;bidPbancOrd=001" TargetMode="External"/><Relationship Id="rId121" Type="http://schemas.openxmlformats.org/officeDocument/2006/relationships/hyperlink" Target="https://www.g2b.go.kr/link/PNPE027_01/single/?bidPbancNo=20240813855&amp;bidPbancOrd=001" TargetMode="External"/><Relationship Id="rId163" Type="http://schemas.openxmlformats.org/officeDocument/2006/relationships/hyperlink" Target="https://www.g2b.go.kr/link/PNPE027_01/single/?bidPbancNo=20240130605&amp;bidPbancOrd=000" TargetMode="External"/><Relationship Id="rId219" Type="http://schemas.openxmlformats.org/officeDocument/2006/relationships/hyperlink" Target="https://www.g2b.go.kr/link/PNPE027_01/single/?bidPbancNo=R26BK01471160&amp;bidPbancOrd=000" TargetMode="External"/><Relationship Id="rId370" Type="http://schemas.openxmlformats.org/officeDocument/2006/relationships/hyperlink" Target="https://www.g2b.go.kr/link/PNPE027_01/single/?bidPbancNo=R26BK01425528&amp;bidPbancOrd=002" TargetMode="External"/><Relationship Id="rId230" Type="http://schemas.openxmlformats.org/officeDocument/2006/relationships/hyperlink" Target="https://www.g2b.go.kr/link/PNPE027_01/single/?bidPbancNo=R26BK01425821&amp;bidPbancOrd=001" TargetMode="External"/><Relationship Id="rId25" Type="http://schemas.openxmlformats.org/officeDocument/2006/relationships/hyperlink" Target="https://www.g2b.go.kr/link/PNPE027_01/single/?bidPbancNo=R25BK00631110&amp;bidPbancOrd=000" TargetMode="External"/><Relationship Id="rId67" Type="http://schemas.openxmlformats.org/officeDocument/2006/relationships/hyperlink" Target="https://www.g2b.go.kr/link/PNPE027_01/single/?bidPbancNo=R25BK00689948&amp;bidPbancOrd=000" TargetMode="External"/><Relationship Id="rId272" Type="http://schemas.openxmlformats.org/officeDocument/2006/relationships/hyperlink" Target="https://www.g2b.go.kr/link/PNPE027_01/single/?bidPbancNo=R25BK00597544&amp;bidPbancOrd=001" TargetMode="External"/><Relationship Id="rId328" Type="http://schemas.openxmlformats.org/officeDocument/2006/relationships/hyperlink" Target="https://www.g2b.go.kr/link/PNPE027_01/single/?bidPbancNo=R26BK01425528&amp;bidPbancOrd=002" TargetMode="External"/><Relationship Id="rId132" Type="http://schemas.openxmlformats.org/officeDocument/2006/relationships/hyperlink" Target="https://www.g2b.go.kr/link/PNPE027_01/single/?bidPbancNo=R26BK01306056&amp;bidPbancOrd=000" TargetMode="External"/><Relationship Id="rId174" Type="http://schemas.openxmlformats.org/officeDocument/2006/relationships/hyperlink" Target="https://www.g2b.go.kr/link/PNPE027_01/single/?bidPbancNo=20240318272&amp;bidPbancOrd=000" TargetMode="External"/><Relationship Id="rId241" Type="http://schemas.openxmlformats.org/officeDocument/2006/relationships/hyperlink" Target="https://www.g2b.go.kr/link/PNPE027_01/single/?bidPbancNo=R26BK01423271&amp;bidPbancOrd=000" TargetMode="External"/><Relationship Id="rId36" Type="http://schemas.openxmlformats.org/officeDocument/2006/relationships/hyperlink" Target="https://www.g2b.go.kr/link/PNPE027_01/single/?bidPbancNo=20240320111&amp;bidPbancOrd=000" TargetMode="External"/><Relationship Id="rId283" Type="http://schemas.openxmlformats.org/officeDocument/2006/relationships/hyperlink" Target="https://www.g2b.go.kr/link/PNPE027_01/single/?bidPbancNo=R25BK00644874&amp;bidPbancOrd=000" TargetMode="External"/><Relationship Id="rId339" Type="http://schemas.openxmlformats.org/officeDocument/2006/relationships/hyperlink" Target="https://www.g2b.go.kr/link/PNPE027_01/single/?bidPbancNo=R26BK01568829&amp;bidPbancOrd=000" TargetMode="External"/><Relationship Id="rId78" Type="http://schemas.openxmlformats.org/officeDocument/2006/relationships/hyperlink" Target="https://www.g2b.go.kr/link/PNPE027_01/single/?bidPbancNo=20240213128&amp;bidPbancOrd=002" TargetMode="External"/><Relationship Id="rId99" Type="http://schemas.openxmlformats.org/officeDocument/2006/relationships/hyperlink" Target="https://www.g2b.go.kr/link/PNPE027_01/single/?bidPbancNo=R25BK00593760&amp;bidPbancOrd=000" TargetMode="External"/><Relationship Id="rId101" Type="http://schemas.openxmlformats.org/officeDocument/2006/relationships/hyperlink" Target="https://www.g2b.go.kr/link/PNPE027_01/single/?bidPbancNo=R25BK00569820&amp;bidPbancOrd=000" TargetMode="External"/><Relationship Id="rId122" Type="http://schemas.openxmlformats.org/officeDocument/2006/relationships/hyperlink" Target="https://www.g2b.go.kr/link/PNPE027_01/single/?bidPbancNo=20240536974&amp;bidPbancOrd=001" TargetMode="External"/><Relationship Id="rId143" Type="http://schemas.openxmlformats.org/officeDocument/2006/relationships/hyperlink" Target="https://www.g2b.go.kr/link/PNPE027_01/single/?bidPbancNo=20240417867&amp;bidPbancOrd=000" TargetMode="External"/><Relationship Id="rId164" Type="http://schemas.openxmlformats.org/officeDocument/2006/relationships/hyperlink" Target="https://www.g2b.go.kr/link/PNPE027_01/single/?bidPbancNo=R26BK01460201&amp;bidPbancOrd=000" TargetMode="External"/><Relationship Id="rId185" Type="http://schemas.openxmlformats.org/officeDocument/2006/relationships/hyperlink" Target="https://www.g2b.go.kr/link/PNPE027_01/single/?bidPbancNo=R25BK00644874&amp;bidPbancOrd=000" TargetMode="External"/><Relationship Id="rId350" Type="http://schemas.openxmlformats.org/officeDocument/2006/relationships/hyperlink" Target="https://www.g2b.go.kr/link/PNPE027_01/single/?bidPbancNo=R25BK00700441&amp;bidPbancOrd=000" TargetMode="External"/><Relationship Id="rId371" Type="http://schemas.openxmlformats.org/officeDocument/2006/relationships/hyperlink" Target="https://www.g2b.go.kr/link/PNPE027_01/single/?bidPbancNo=R26BK01425740&amp;bidPbancOrd=001" TargetMode="External"/><Relationship Id="rId9" Type="http://schemas.openxmlformats.org/officeDocument/2006/relationships/hyperlink" Target="https://www.g2b.go.kr/link/PNPE027_01/single/?bidPbancNo=R26BK01416636&amp;bidPbancOrd=000" TargetMode="External"/><Relationship Id="rId210" Type="http://schemas.openxmlformats.org/officeDocument/2006/relationships/hyperlink" Target="https://www.g2b.go.kr/link/PNPE027_01/single/?bidPbancNo=R25BK00751811&amp;bidPbancOrd=002" TargetMode="External"/><Relationship Id="rId26" Type="http://schemas.openxmlformats.org/officeDocument/2006/relationships/hyperlink" Target="https://www.g2b.go.kr/link/PNPE027_01/single/?bidPbancNo=R25BK00628001&amp;bidPbancOrd=000" TargetMode="External"/><Relationship Id="rId231" Type="http://schemas.openxmlformats.org/officeDocument/2006/relationships/hyperlink" Target="https://www.g2b.go.kr/link/PNPE027_01/single/?bidPbancNo=R26BK01425528&amp;bidPbancOrd=002" TargetMode="External"/><Relationship Id="rId252" Type="http://schemas.openxmlformats.org/officeDocument/2006/relationships/hyperlink" Target="https://www.g2b.go.kr/link/PNPE027_01/single/?bidPbancNo=R26BK01323636&amp;bidPbancOrd=000" TargetMode="External"/><Relationship Id="rId273" Type="http://schemas.openxmlformats.org/officeDocument/2006/relationships/hyperlink" Target="https://www.g2b.go.kr/link/PNPE027_01/single/?bidPbancNo=R25BK00590943&amp;bidPbancOrd=000" TargetMode="External"/><Relationship Id="rId294" Type="http://schemas.openxmlformats.org/officeDocument/2006/relationships/hyperlink" Target="https://www.g2b.go.kr/link/PNPE027_01/single/?bidPbancNo=R26BK01451207&amp;bidPbancOrd=001" TargetMode="External"/><Relationship Id="rId308" Type="http://schemas.openxmlformats.org/officeDocument/2006/relationships/hyperlink" Target="https://www.g2b.go.kr/link/PNPE027_01/single/?bidPbancNo=20240318272&amp;bidPbancOrd=000" TargetMode="External"/><Relationship Id="rId329" Type="http://schemas.openxmlformats.org/officeDocument/2006/relationships/hyperlink" Target="https://www.g2b.go.kr/link/PNPE027_01/single/?bidPbancNo=R26BK01425740&amp;bidPbancOrd=001" TargetMode="External"/><Relationship Id="rId47" Type="http://schemas.openxmlformats.org/officeDocument/2006/relationships/hyperlink" Target="https://www.g2b.go.kr/link/PNPE027_01/single/?bidPbancNo=R26BK01345249&amp;bidPbancOrd=000" TargetMode="External"/><Relationship Id="rId68" Type="http://schemas.openxmlformats.org/officeDocument/2006/relationships/hyperlink" Target="https://www.g2b.go.kr/link/PNPE027_01/single/?bidPbancNo=R25BK00628001&amp;bidPbancOrd=000" TargetMode="External"/><Relationship Id="rId89" Type="http://schemas.openxmlformats.org/officeDocument/2006/relationships/hyperlink" Target="https://www.g2b.go.kr/link/PNPE027_01/single/?bidPbancNo=R25BK00923748&amp;bidPbancOrd=000" TargetMode="External"/><Relationship Id="rId112" Type="http://schemas.openxmlformats.org/officeDocument/2006/relationships/hyperlink" Target="https://www.g2b.go.kr/link/PNPE027_01/single/?bidPbancNo=R25BK01157585&amp;bidPbancOrd=000" TargetMode="External"/><Relationship Id="rId133" Type="http://schemas.openxmlformats.org/officeDocument/2006/relationships/hyperlink" Target="https://www.g2b.go.kr/link/PNPE027_01/single/?bidPbancNo=R25BK00991642&amp;bidPbancOrd=000" TargetMode="External"/><Relationship Id="rId154" Type="http://schemas.openxmlformats.org/officeDocument/2006/relationships/hyperlink" Target="https://www.g2b.go.kr/link/PNPE027_01/single/?bidPbancNo=R25BK00751811&amp;bidPbancOrd=002" TargetMode="External"/><Relationship Id="rId175" Type="http://schemas.openxmlformats.org/officeDocument/2006/relationships/hyperlink" Target="https://www.g2b.go.kr/link/PNPE027_01/single/?bidPbancNo=20240239739&amp;bidPbancOrd=000" TargetMode="External"/><Relationship Id="rId340" Type="http://schemas.openxmlformats.org/officeDocument/2006/relationships/hyperlink" Target="https://www.g2b.go.kr/link/PNPE027_01/single/?bidPbancNo=R25BK01105005&amp;bidPbancOrd=000" TargetMode="External"/><Relationship Id="rId361" Type="http://schemas.openxmlformats.org/officeDocument/2006/relationships/hyperlink" Target="https://www.g2b.go.kr/link/PNPE027_01/single/?bidPbancNo=20240211820&amp;bidPbancOrd=002" TargetMode="External"/><Relationship Id="rId196" Type="http://schemas.openxmlformats.org/officeDocument/2006/relationships/hyperlink" Target="https://www.g2b.go.kr/link/PNPE027_01/single/?bidPbancNo=R25BK00748631&amp;bidPbancOrd=000" TargetMode="External"/><Relationship Id="rId200" Type="http://schemas.openxmlformats.org/officeDocument/2006/relationships/hyperlink" Target="https://www.g2b.go.kr/link/PNPE027_01/single/?bidPbancNo=R25BK00597544&amp;bidPbancOrd=001" TargetMode="External"/><Relationship Id="rId16" Type="http://schemas.openxmlformats.org/officeDocument/2006/relationships/hyperlink" Target="https://www.g2b.go.kr/link/PNPE027_01/single/?bidPbancNo=R25BK00881077&amp;bidPbancOrd=000" TargetMode="External"/><Relationship Id="rId221" Type="http://schemas.openxmlformats.org/officeDocument/2006/relationships/hyperlink" Target="https://www.g2b.go.kr/link/PNPE027_01/single/?bidPbancNo=R25BK01157585&amp;bidPbancOrd=000" TargetMode="External"/><Relationship Id="rId242" Type="http://schemas.openxmlformats.org/officeDocument/2006/relationships/hyperlink" Target="https://www.g2b.go.kr/link/PNPE027_01/single/?bidPbancNo=R26BK01385582&amp;bidPbancOrd=000" TargetMode="External"/><Relationship Id="rId263" Type="http://schemas.openxmlformats.org/officeDocument/2006/relationships/hyperlink" Target="https://www.g2b.go.kr/link/PNPE027_01/single/?bidPbancNo=R25BK01034286&amp;bidPbancOrd=000" TargetMode="External"/><Relationship Id="rId284" Type="http://schemas.openxmlformats.org/officeDocument/2006/relationships/hyperlink" Target="https://www.g2b.go.kr/link/PNPE027_01/single/?bidPbancNo=20240340056&amp;bidPbancOrd=000" TargetMode="External"/><Relationship Id="rId319" Type="http://schemas.openxmlformats.org/officeDocument/2006/relationships/hyperlink" Target="https://www.g2b.go.kr/link/PNPE027_01/single/?bidPbancNo=R26BK01311987&amp;bidPbancOrd=000" TargetMode="External"/><Relationship Id="rId37" Type="http://schemas.openxmlformats.org/officeDocument/2006/relationships/hyperlink" Target="https://www.g2b.go.kr/link/PNPE027_01/single/?bidPbancNo=20240318272&amp;bidPbancOrd=000" TargetMode="External"/><Relationship Id="rId58" Type="http://schemas.openxmlformats.org/officeDocument/2006/relationships/hyperlink" Target="https://www.g2b.go.kr/link/PNPE027_01/single/?bidPbancNo=R25BK00866999&amp;bidPbancOrd=000" TargetMode="External"/><Relationship Id="rId79" Type="http://schemas.openxmlformats.org/officeDocument/2006/relationships/hyperlink" Target="https://www.g2b.go.kr/link/PNPE027_01/single/?bidPbancNo=20240221311&amp;bidPbancOrd=000" TargetMode="External"/><Relationship Id="rId102" Type="http://schemas.openxmlformats.org/officeDocument/2006/relationships/hyperlink" Target="https://www.g2b.go.kr/link/PNPE027_01/single/?bidPbancNo=20240719833&amp;bidPbancOrd=000" TargetMode="External"/><Relationship Id="rId123" Type="http://schemas.openxmlformats.org/officeDocument/2006/relationships/hyperlink" Target="https://www.g2b.go.kr/link/PNPE027_01/single/?bidPbancNo=20240417867&amp;bidPbancOrd=000" TargetMode="External"/><Relationship Id="rId144" Type="http://schemas.openxmlformats.org/officeDocument/2006/relationships/hyperlink" Target="https://www.g2b.go.kr/link/PNPE027_01/single/?bidPbancNo=20240402848&amp;bidPbancOrd=000" TargetMode="External"/><Relationship Id="rId330" Type="http://schemas.openxmlformats.org/officeDocument/2006/relationships/hyperlink" Target="https://www.g2b.go.kr/link/PNPE027_01/single/?bidPbancNo=R26BK01425609&amp;bidPbancOrd=001" TargetMode="External"/><Relationship Id="rId90" Type="http://schemas.openxmlformats.org/officeDocument/2006/relationships/hyperlink" Target="https://www.g2b.go.kr/link/PNPE027_01/single/?bidPbancNo=R25BK00751811&amp;bidPbancOrd=002" TargetMode="External"/><Relationship Id="rId165" Type="http://schemas.openxmlformats.org/officeDocument/2006/relationships/hyperlink" Target="https://www.g2b.go.kr/link/PNPE027_01/single/?bidPbancNo=R25BK00751811&amp;bidPbancOrd=002" TargetMode="External"/><Relationship Id="rId186" Type="http://schemas.openxmlformats.org/officeDocument/2006/relationships/hyperlink" Target="https://www.g2b.go.kr/link/PNPE027_01/single/?bidPbancNo=R25BK00628001&amp;bidPbancOrd=000" TargetMode="External"/><Relationship Id="rId351" Type="http://schemas.openxmlformats.org/officeDocument/2006/relationships/hyperlink" Target="https://www.g2b.go.kr/link/PNPE027_01/single/?bidPbancNo=R26BK01565106&amp;bidPbancOrd=000" TargetMode="External"/><Relationship Id="rId372" Type="http://schemas.openxmlformats.org/officeDocument/2006/relationships/hyperlink" Target="https://www.g2b.go.kr/link/PNPE027_01/single/?bidPbancNo=R26BK01425609&amp;bidPbancOrd=001" TargetMode="External"/><Relationship Id="rId211" Type="http://schemas.openxmlformats.org/officeDocument/2006/relationships/hyperlink" Target="https://www.g2b.go.kr/link/PNPE027_01/single/?bidPbancNo=R25BK00757592&amp;bidPbancOrd=000" TargetMode="External"/><Relationship Id="rId232" Type="http://schemas.openxmlformats.org/officeDocument/2006/relationships/hyperlink" Target="https://www.g2b.go.kr/link/PNPE027_01/single/?bidPbancNo=R26BK01425740&amp;bidPbancOrd=001" TargetMode="External"/><Relationship Id="rId253" Type="http://schemas.openxmlformats.org/officeDocument/2006/relationships/hyperlink" Target="https://www.g2b.go.kr/link/PNPE027_01/single/?bidPbancNo=R26BK01323639&amp;bidPbancOrd=000" TargetMode="External"/><Relationship Id="rId274" Type="http://schemas.openxmlformats.org/officeDocument/2006/relationships/hyperlink" Target="https://www.g2b.go.kr/link/PNPE027_01/single/?bidPbancNo=R25BK00590852&amp;bidPbancOrd=000" TargetMode="External"/><Relationship Id="rId295" Type="http://schemas.openxmlformats.org/officeDocument/2006/relationships/hyperlink" Target="https://www.g2b.go.kr/link/PNPE027_01/single/?bidPbancNo=R26BK01425821&amp;bidPbancOrd=001" TargetMode="External"/><Relationship Id="rId309" Type="http://schemas.openxmlformats.org/officeDocument/2006/relationships/hyperlink" Target="https://www.g2b.go.kr/link/PNPE027_01/single/?bidPbancNo=20240237784&amp;bidPbancOrd=000" TargetMode="External"/><Relationship Id="rId27" Type="http://schemas.openxmlformats.org/officeDocument/2006/relationships/hyperlink" Target="https://www.g2b.go.kr/link/PNPE027_01/single/?bidPbancNo=R25BK00612412&amp;bidPbancOrd=000" TargetMode="External"/><Relationship Id="rId48" Type="http://schemas.openxmlformats.org/officeDocument/2006/relationships/hyperlink" Target="https://www.g2b.go.kr/link/PNPE027_01/single/?bidPbancNo=R26BK01345183&amp;bidPbancOrd=000" TargetMode="External"/><Relationship Id="rId69" Type="http://schemas.openxmlformats.org/officeDocument/2006/relationships/hyperlink" Target="https://www.g2b.go.kr/link/PNPE027_01/single/?bidPbancNo=R25BK00597544&amp;bidPbancOrd=001" TargetMode="External"/><Relationship Id="rId113" Type="http://schemas.openxmlformats.org/officeDocument/2006/relationships/hyperlink" Target="https://www.g2b.go.kr/link/PNPE027_01/single/?bidPbancNo=R25BK01034286&amp;bidPbancOrd=000" TargetMode="External"/><Relationship Id="rId134" Type="http://schemas.openxmlformats.org/officeDocument/2006/relationships/hyperlink" Target="https://www.g2b.go.kr/link/PNPE027_01/single/?bidPbancNo=R25BK00881077&amp;bidPbancOrd=000" TargetMode="External"/><Relationship Id="rId320" Type="http://schemas.openxmlformats.org/officeDocument/2006/relationships/hyperlink" Target="https://www.g2b.go.kr/link/PNPE027_01/single/?bidPbancNo=R25BK00881077&amp;bidPbancOrd=000" TargetMode="External"/><Relationship Id="rId80" Type="http://schemas.openxmlformats.org/officeDocument/2006/relationships/hyperlink" Target="https://www.g2b.go.kr/link/PNPE027_01/single/?bidPbancNo=20240219360&amp;bidPbancOrd=000" TargetMode="External"/><Relationship Id="rId155" Type="http://schemas.openxmlformats.org/officeDocument/2006/relationships/hyperlink" Target="https://www.g2b.go.kr/link/PNPE027_01/single/?bidPbancNo=R25BK00628001&amp;bidPbancOrd=000" TargetMode="External"/><Relationship Id="rId176" Type="http://schemas.openxmlformats.org/officeDocument/2006/relationships/hyperlink" Target="https://www.g2b.go.kr/link/PNPE027_01/single/?bidPbancNo=20240211798&amp;bidPbancOrd=002" TargetMode="External"/><Relationship Id="rId197" Type="http://schemas.openxmlformats.org/officeDocument/2006/relationships/hyperlink" Target="https://www.g2b.go.kr/link/PNPE027_01/single/?bidPbancNo=R25BK00739447&amp;bidPbancOrd=000" TargetMode="External"/><Relationship Id="rId341" Type="http://schemas.openxmlformats.org/officeDocument/2006/relationships/hyperlink" Target="https://www.g2b.go.kr/link/PNPE027_01/single/?bidPbancNo=R25BK00866705&amp;bidPbancOrd=000" TargetMode="External"/><Relationship Id="rId362" Type="http://schemas.openxmlformats.org/officeDocument/2006/relationships/hyperlink" Target="https://www.g2b.go.kr/link/PNPE027_01/single/?bidPbancNo=20240211798&amp;bidPbancOrd=002" TargetMode="External"/><Relationship Id="rId201" Type="http://schemas.openxmlformats.org/officeDocument/2006/relationships/hyperlink" Target="https://www.g2b.go.kr/link/PNPE027_01/single/?bidPbancNo=R25BK00598881&amp;bidPbancOrd=000" TargetMode="External"/><Relationship Id="rId222" Type="http://schemas.openxmlformats.org/officeDocument/2006/relationships/hyperlink" Target="https://www.g2b.go.kr/link/PNPE027_01/single/?bidPbancNo=R25BK01134407&amp;bidPbancOrd=000" TargetMode="External"/><Relationship Id="rId243" Type="http://schemas.openxmlformats.org/officeDocument/2006/relationships/hyperlink" Target="https://www.g2b.go.kr/link/PNPE027_01/single/?bidPbancNo=R25BK01153848&amp;bidPbancOrd=000" TargetMode="External"/><Relationship Id="rId264" Type="http://schemas.openxmlformats.org/officeDocument/2006/relationships/hyperlink" Target="https://www.g2b.go.kr/link/PNPE027_01/single/?bidPbancNo=R25BK00908142&amp;bidPbancOrd=000" TargetMode="External"/><Relationship Id="rId285" Type="http://schemas.openxmlformats.org/officeDocument/2006/relationships/hyperlink" Target="https://www.g2b.go.kr/link/PNPE027_01/single/?bidPbancNo=20240239739&amp;bidPbancOrd=000" TargetMode="External"/><Relationship Id="rId17" Type="http://schemas.openxmlformats.org/officeDocument/2006/relationships/hyperlink" Target="https://www.g2b.go.kr/link/PNPE027_01/single/?bidPbancNo=R25BK00866999&amp;bidPbancOrd=000" TargetMode="External"/><Relationship Id="rId38" Type="http://schemas.openxmlformats.org/officeDocument/2006/relationships/hyperlink" Target="https://www.g2b.go.kr/link/PNPE027_01/single/?bidPbancNo=20240239739&amp;bidPbancOrd=000" TargetMode="External"/><Relationship Id="rId59" Type="http://schemas.openxmlformats.org/officeDocument/2006/relationships/hyperlink" Target="https://www.g2b.go.kr/link/PNPE027_01/single/?bidPbancNo=R25BK00848572&amp;bidPbancOrd=000" TargetMode="External"/><Relationship Id="rId103" Type="http://schemas.openxmlformats.org/officeDocument/2006/relationships/hyperlink" Target="https://www.g2b.go.kr/link/PNPE027_01/single/?bidPbancNo=20240239739&amp;bidPbancOrd=000" TargetMode="External"/><Relationship Id="rId124" Type="http://schemas.openxmlformats.org/officeDocument/2006/relationships/hyperlink" Target="https://www.g2b.go.kr/link/PNPE027_01/single/?bidPbancNo=20240417905&amp;bidPbancOrd=000" TargetMode="External"/><Relationship Id="rId310" Type="http://schemas.openxmlformats.org/officeDocument/2006/relationships/hyperlink" Target="https://www.g2b.go.kr/link/PNPE027_01/single/?bidPbancNo=R26BK01575705&amp;bidPbancOrd=000" TargetMode="External"/><Relationship Id="rId70" Type="http://schemas.openxmlformats.org/officeDocument/2006/relationships/hyperlink" Target="https://www.g2b.go.kr/link/PNPE027_01/single/?bidPbancNo=R25BK00590943&amp;bidPbancOrd=000" TargetMode="External"/><Relationship Id="rId91" Type="http://schemas.openxmlformats.org/officeDocument/2006/relationships/hyperlink" Target="https://www.g2b.go.kr/link/PNPE027_01/single/?bidPbancNo=R25BK00757592&amp;bidPbancOrd=000" TargetMode="External"/><Relationship Id="rId145" Type="http://schemas.openxmlformats.org/officeDocument/2006/relationships/hyperlink" Target="https://www.g2b.go.kr/link/PNPE027_01/single/?bidPbancNo=20240237784&amp;bidPbancOrd=000" TargetMode="External"/><Relationship Id="rId166" Type="http://schemas.openxmlformats.org/officeDocument/2006/relationships/hyperlink" Target="https://www.g2b.go.kr/link/PNPE027_01/single/?bidPbancNo=R25BK00739693&amp;bidPbancOrd=000" TargetMode="External"/><Relationship Id="rId187" Type="http://schemas.openxmlformats.org/officeDocument/2006/relationships/hyperlink" Target="https://www.g2b.go.kr/link/PNPE027_01/single/?bidPbancNo=R25BK00590997&amp;bidPbancOrd=000" TargetMode="External"/><Relationship Id="rId331" Type="http://schemas.openxmlformats.org/officeDocument/2006/relationships/hyperlink" Target="https://www.g2b.go.kr/link/PNPE027_01/single/?bidPbancNo=R26BK01417516&amp;bidPbancOrd=000" TargetMode="External"/><Relationship Id="rId352" Type="http://schemas.openxmlformats.org/officeDocument/2006/relationships/hyperlink" Target="https://www.g2b.go.kr/link/PNPE027_01/single/?bidPbancNo=R26BK01425821&amp;bidPbancOrd=001" TargetMode="External"/><Relationship Id="rId373" Type="http://schemas.openxmlformats.org/officeDocument/2006/relationships/hyperlink" Target="https://www.g2b.go.kr/link/PNPE027_01/single/?bidPbancNo=20240706499&amp;bidPbancOrd=000" TargetMode="External"/><Relationship Id="rId1" Type="http://schemas.openxmlformats.org/officeDocument/2006/relationships/hyperlink" Target="https://www.g2b.go.kr/link/PNPE027_01/single/?bidPbancNo=R26BK01536757&amp;bidPbancOrd=000" TargetMode="External"/><Relationship Id="rId212" Type="http://schemas.openxmlformats.org/officeDocument/2006/relationships/hyperlink" Target="https://www.g2b.go.kr/link/PNPE027_01/single/?bidPbancNo=R25BK00689948&amp;bidPbancOrd=000" TargetMode="External"/><Relationship Id="rId233" Type="http://schemas.openxmlformats.org/officeDocument/2006/relationships/hyperlink" Target="https://www.g2b.go.kr/link/PNPE027_01/single/?bidPbancNo=R26BK01425609&amp;bidPbancOrd=001" TargetMode="External"/><Relationship Id="rId254" Type="http://schemas.openxmlformats.org/officeDocument/2006/relationships/hyperlink" Target="https://www.g2b.go.kr/link/PNPE027_01/single/?bidPbancNo=R25BK00869486&amp;bidPbancOrd=000" TargetMode="External"/><Relationship Id="rId28" Type="http://schemas.openxmlformats.org/officeDocument/2006/relationships/hyperlink" Target="https://www.g2b.go.kr/link/PNPE027_01/single/?bidPbancNo=R25BK00597544&amp;bidPbancOrd=001" TargetMode="External"/><Relationship Id="rId49" Type="http://schemas.openxmlformats.org/officeDocument/2006/relationships/hyperlink" Target="https://www.g2b.go.kr/link/PNPE027_01/single/?bidPbancNo=R26BK01312116&amp;bidPbancOrd=000" TargetMode="External"/><Relationship Id="rId114" Type="http://schemas.openxmlformats.org/officeDocument/2006/relationships/hyperlink" Target="https://www.g2b.go.kr/link/PNPE027_01/single/?bidPbancNo=R25BK00823931&amp;bidPbancOrd=000" TargetMode="External"/><Relationship Id="rId275" Type="http://schemas.openxmlformats.org/officeDocument/2006/relationships/hyperlink" Target="https://www.g2b.go.kr/link/PNPE027_01/single/?bidPbancNo=20240213128&amp;bidPbancOrd=002" TargetMode="External"/><Relationship Id="rId296" Type="http://schemas.openxmlformats.org/officeDocument/2006/relationships/hyperlink" Target="https://www.g2b.go.kr/link/PNPE027_01/single/?bidPbancNo=R26BK01425528&amp;bidPbancOrd=002" TargetMode="External"/><Relationship Id="rId300" Type="http://schemas.openxmlformats.org/officeDocument/2006/relationships/hyperlink" Target="https://www.g2b.go.kr/link/PNPE027_01/single/?bidPbancNo=R25BK00569640&amp;bidPbancOrd=001" TargetMode="External"/><Relationship Id="rId60" Type="http://schemas.openxmlformats.org/officeDocument/2006/relationships/hyperlink" Target="https://www.g2b.go.kr/link/PNPE027_01/single/?bidPbancNo=R25BK00817312&amp;bidPbancOrd=000" TargetMode="External"/><Relationship Id="rId81" Type="http://schemas.openxmlformats.org/officeDocument/2006/relationships/hyperlink" Target="https://www.g2b.go.kr/link/PNPE027_01/single/?bidPbancNo=20240130639&amp;bidPbancOrd=000" TargetMode="External"/><Relationship Id="rId135" Type="http://schemas.openxmlformats.org/officeDocument/2006/relationships/hyperlink" Target="https://www.g2b.go.kr/link/PNPE027_01/single/?bidPbancNo=R25BK00867713&amp;bidPbancOrd=000" TargetMode="External"/><Relationship Id="rId156" Type="http://schemas.openxmlformats.org/officeDocument/2006/relationships/hyperlink" Target="https://www.g2b.go.kr/link/PNPE027_01/single/?bidPbancNo=R25BK00593760&amp;bidPbancOrd=000" TargetMode="External"/><Relationship Id="rId177" Type="http://schemas.openxmlformats.org/officeDocument/2006/relationships/hyperlink" Target="https://www.g2b.go.kr/link/PNPE027_01/single/?bidPbancNo=20240219539&amp;bidPbancOrd=000" TargetMode="External"/><Relationship Id="rId198" Type="http://schemas.openxmlformats.org/officeDocument/2006/relationships/hyperlink" Target="https://www.g2b.go.kr/link/PNPE027_01/single/?bidPbancNo=R25BK00691749&amp;bidPbancOrd=000" TargetMode="External"/><Relationship Id="rId321" Type="http://schemas.openxmlformats.org/officeDocument/2006/relationships/hyperlink" Target="https://www.g2b.go.kr/link/PNPE027_01/single/?bidPbancNo=R25BK00769814&amp;bidPbancOrd=000" TargetMode="External"/><Relationship Id="rId342" Type="http://schemas.openxmlformats.org/officeDocument/2006/relationships/hyperlink" Target="https://www.g2b.go.kr/link/PNPE027_01/single/?bidPbancNo=R25BK00757592&amp;bidPbancOrd=000" TargetMode="External"/><Relationship Id="rId363" Type="http://schemas.openxmlformats.org/officeDocument/2006/relationships/hyperlink" Target="https://www.g2b.go.kr/link/PNPE027_01/single/?bidPbancNo=R26BK01515770&amp;bidPbancOrd=000" TargetMode="External"/><Relationship Id="rId202" Type="http://schemas.openxmlformats.org/officeDocument/2006/relationships/hyperlink" Target="https://www.g2b.go.kr/link/PNPE027_01/single/?bidPbancNo=R25BK00590852&amp;bidPbancOrd=000" TargetMode="External"/><Relationship Id="rId223" Type="http://schemas.openxmlformats.org/officeDocument/2006/relationships/hyperlink" Target="https://www.g2b.go.kr/link/PNPE027_01/single/?bidPbancNo=R25BK00763686&amp;bidPbancOrd=000" TargetMode="External"/><Relationship Id="rId244" Type="http://schemas.openxmlformats.org/officeDocument/2006/relationships/hyperlink" Target="https://www.g2b.go.kr/link/PNPE027_01/single/?bidPbancNo=R25BK01153836&amp;bidPbancOrd=000" TargetMode="External"/><Relationship Id="rId18" Type="http://schemas.openxmlformats.org/officeDocument/2006/relationships/hyperlink" Target="https://www.g2b.go.kr/link/PNPE027_01/single/?bidPbancNo=R25BK00815150&amp;bidPbancOrd=000" TargetMode="External"/><Relationship Id="rId39" Type="http://schemas.openxmlformats.org/officeDocument/2006/relationships/hyperlink" Target="https://www.g2b.go.kr/link/PNPE027_01/single/?bidPbancNo=20240211820&amp;bidPbancOrd=002" TargetMode="External"/><Relationship Id="rId265" Type="http://schemas.openxmlformats.org/officeDocument/2006/relationships/hyperlink" Target="https://www.g2b.go.kr/link/PNPE027_01/single/?bidPbancNo=R25BK00746601&amp;bidPbancOrd=000" TargetMode="External"/><Relationship Id="rId286" Type="http://schemas.openxmlformats.org/officeDocument/2006/relationships/hyperlink" Target="https://www.g2b.go.kr/link/PNPE027_01/single/?bidPbancNo=R26BK01497750&amp;bidPbancOrd=000" TargetMode="External"/><Relationship Id="rId50" Type="http://schemas.openxmlformats.org/officeDocument/2006/relationships/hyperlink" Target="https://www.g2b.go.kr/link/PNPE027_01/single/?bidPbancNo=R26BK01311836&amp;bidPbancOrd=000" TargetMode="External"/><Relationship Id="rId104" Type="http://schemas.openxmlformats.org/officeDocument/2006/relationships/hyperlink" Target="https://www.g2b.go.kr/link/PNPE027_01/single/?bidPbancNo=20240213128&amp;bidPbancOrd=002" TargetMode="External"/><Relationship Id="rId125" Type="http://schemas.openxmlformats.org/officeDocument/2006/relationships/hyperlink" Target="https://www.g2b.go.kr/link/PNPE027_01/single/?bidPbancNo=20240308228&amp;bidPbancOrd=000" TargetMode="External"/><Relationship Id="rId146" Type="http://schemas.openxmlformats.org/officeDocument/2006/relationships/hyperlink" Target="https://www.g2b.go.kr/link/PNPE027_01/single/?bidPbancNo=R26BK01425821&amp;bidPbancOrd=001" TargetMode="External"/><Relationship Id="rId167" Type="http://schemas.openxmlformats.org/officeDocument/2006/relationships/hyperlink" Target="https://www.g2b.go.kr/link/PNPE027_01/single/?bidPbancNo=R25BK00689948&amp;bidPbancOrd=000" TargetMode="External"/><Relationship Id="rId188" Type="http://schemas.openxmlformats.org/officeDocument/2006/relationships/hyperlink" Target="https://www.g2b.go.kr/link/PNPE027_01/single/?bidPbancNo=R25BK00569640&amp;bidPbancOrd=001" TargetMode="External"/><Relationship Id="rId311" Type="http://schemas.openxmlformats.org/officeDocument/2006/relationships/hyperlink" Target="https://www.g2b.go.kr/link/PNPE027_01/single/?bidPbancNo=R26BK01425821&amp;bidPbancOrd=001" TargetMode="External"/><Relationship Id="rId332" Type="http://schemas.openxmlformats.org/officeDocument/2006/relationships/hyperlink" Target="https://www.g2b.go.kr/link/PNPE027_01/single/?bidPbancNo=R25BK00569820&amp;bidPbancOrd=000" TargetMode="External"/><Relationship Id="rId353" Type="http://schemas.openxmlformats.org/officeDocument/2006/relationships/hyperlink" Target="https://www.g2b.go.kr/link/PNPE027_01/single/?bidPbancNo=R26BK01425528&amp;bidPbancOrd=002" TargetMode="External"/><Relationship Id="rId374" Type="http://schemas.openxmlformats.org/officeDocument/2006/relationships/hyperlink" Target="https://www.g2b.go.kr/link/PNPE027_01/single/?bidPbancNo=20240204144&amp;bidPbancOrd=000" TargetMode="External"/><Relationship Id="rId71" Type="http://schemas.openxmlformats.org/officeDocument/2006/relationships/hyperlink" Target="https://www.g2b.go.kr/link/PNPE027_01/single/?bidPbancNo=R25BK00569905&amp;bidPbancOrd=000" TargetMode="External"/><Relationship Id="rId92" Type="http://schemas.openxmlformats.org/officeDocument/2006/relationships/hyperlink" Target="https://www.g2b.go.kr/link/PNPE027_01/single/?bidPbancNo=R25BK00736975&amp;bidPbancOrd=000" TargetMode="External"/><Relationship Id="rId213" Type="http://schemas.openxmlformats.org/officeDocument/2006/relationships/hyperlink" Target="https://www.g2b.go.kr/link/PNPE027_01/single/?bidPbancNo=R25BK00590943&amp;bidPbancOrd=000" TargetMode="External"/><Relationship Id="rId234" Type="http://schemas.openxmlformats.org/officeDocument/2006/relationships/hyperlink" Target="https://www.g2b.go.kr/link/PNPE027_01/single/?bidPbancNo=R26BK01345249&amp;bidPbancOrd=000" TargetMode="External"/><Relationship Id="rId2" Type="http://schemas.openxmlformats.org/officeDocument/2006/relationships/hyperlink" Target="https://www.g2b.go.kr/link/PNPE027_01/single/?bidPbancNo=R26BK01489660&amp;bidPbancOrd=000" TargetMode="External"/><Relationship Id="rId29" Type="http://schemas.openxmlformats.org/officeDocument/2006/relationships/hyperlink" Target="https://www.g2b.go.kr/link/PNPE027_01/single/?bidPbancNo=R25BK00590997&amp;bidPbancOrd=000" TargetMode="External"/><Relationship Id="rId255" Type="http://schemas.openxmlformats.org/officeDocument/2006/relationships/hyperlink" Target="https://www.g2b.go.kr/link/PNPE027_01/single/?bidPbancNo=R25BK00594568&amp;bidPbancOrd=001" TargetMode="External"/><Relationship Id="rId276" Type="http://schemas.openxmlformats.org/officeDocument/2006/relationships/hyperlink" Target="https://www.g2b.go.kr/link/PNPE027_01/single/?bidPbancNo=20240130639&amp;bidPbancOrd=000" TargetMode="External"/><Relationship Id="rId297" Type="http://schemas.openxmlformats.org/officeDocument/2006/relationships/hyperlink" Target="https://www.g2b.go.kr/link/PNPE027_01/single/?bidPbancNo=R26BK01425740&amp;bidPbancOrd=001" TargetMode="External"/><Relationship Id="rId40" Type="http://schemas.openxmlformats.org/officeDocument/2006/relationships/hyperlink" Target="https://www.g2b.go.kr/link/PNPE027_01/single/?bidPbancNo=20240211798&amp;bidPbancOrd=002" TargetMode="External"/><Relationship Id="rId115" Type="http://schemas.openxmlformats.org/officeDocument/2006/relationships/hyperlink" Target="https://www.g2b.go.kr/link/PNPE027_01/single/?bidPbancNo=R25BK00744612&amp;bidPbancOrd=000" TargetMode="External"/><Relationship Id="rId136" Type="http://schemas.openxmlformats.org/officeDocument/2006/relationships/hyperlink" Target="https://www.g2b.go.kr/link/PNPE027_01/single/?bidPbancNo=R25BK00769814&amp;bidPbancOrd=000" TargetMode="External"/><Relationship Id="rId157" Type="http://schemas.openxmlformats.org/officeDocument/2006/relationships/hyperlink" Target="https://www.g2b.go.kr/link/PNPE027_01/single/?bidPbancNo=R25BK00590997&amp;bidPbancOrd=000" TargetMode="External"/><Relationship Id="rId178" Type="http://schemas.openxmlformats.org/officeDocument/2006/relationships/hyperlink" Target="https://www.g2b.go.kr/link/PNPE027_01/single/?bidPbancNo=20240121252&amp;bidPbancOrd=000" TargetMode="External"/><Relationship Id="rId301" Type="http://schemas.openxmlformats.org/officeDocument/2006/relationships/hyperlink" Target="https://www.g2b.go.kr/link/PNPE027_01/single/?bidPbancNo=20240622640&amp;bidPbancOrd=000" TargetMode="External"/><Relationship Id="rId322" Type="http://schemas.openxmlformats.org/officeDocument/2006/relationships/hyperlink" Target="https://www.g2b.go.kr/link/PNPE027_01/single/?bidPbancNo=R25BK00628001&amp;bidPbancOrd=000" TargetMode="External"/><Relationship Id="rId343" Type="http://schemas.openxmlformats.org/officeDocument/2006/relationships/hyperlink" Target="https://www.g2b.go.kr/link/PNPE027_01/single/?bidPbancNo=R25BK00748631&amp;bidPbancOrd=000" TargetMode="External"/><Relationship Id="rId364" Type="http://schemas.openxmlformats.org/officeDocument/2006/relationships/hyperlink" Target="https://www.g2b.go.kr/link/PNPE027_01/single/?bidPbancNo=R25BK01034286&amp;bidPbancOrd=000" TargetMode="External"/><Relationship Id="rId61" Type="http://schemas.openxmlformats.org/officeDocument/2006/relationships/hyperlink" Target="https://www.g2b.go.kr/link/PNPE027_01/single/?bidPbancNo=R25BK00815150&amp;bidPbancOrd=000" TargetMode="External"/><Relationship Id="rId82" Type="http://schemas.openxmlformats.org/officeDocument/2006/relationships/hyperlink" Target="https://www.g2b.go.kr/link/PNPE027_01/single/?bidPbancNo=20240130605&amp;bidPbancOrd=000" TargetMode="External"/><Relationship Id="rId199" Type="http://schemas.openxmlformats.org/officeDocument/2006/relationships/hyperlink" Target="https://www.g2b.go.kr/link/PNPE027_01/single/?bidPbancNo=R25BK00689948&amp;bidPbancOrd=000" TargetMode="External"/><Relationship Id="rId203" Type="http://schemas.openxmlformats.org/officeDocument/2006/relationships/hyperlink" Target="https://www.g2b.go.kr/link/PNPE027_01/single/?bidPbancNo=20240531147&amp;bidPbancOrd=001" TargetMode="External"/><Relationship Id="rId19" Type="http://schemas.openxmlformats.org/officeDocument/2006/relationships/hyperlink" Target="https://www.g2b.go.kr/link/PNPE027_01/single/?bidPbancNo=R25BK00812059&amp;bidPbancOrd=000" TargetMode="External"/><Relationship Id="rId224" Type="http://schemas.openxmlformats.org/officeDocument/2006/relationships/hyperlink" Target="https://www.g2b.go.kr/link/PNPE027_01/single/?bidPbancNo=R25BK00680661&amp;bidPbancOrd=000" TargetMode="External"/><Relationship Id="rId245" Type="http://schemas.openxmlformats.org/officeDocument/2006/relationships/hyperlink" Target="https://www.g2b.go.kr/link/PNPE027_01/single/?bidPbancNo=R25BK00954418&amp;bidPbancOrd=000" TargetMode="External"/><Relationship Id="rId266" Type="http://schemas.openxmlformats.org/officeDocument/2006/relationships/hyperlink" Target="https://www.g2b.go.kr/link/PNPE027_01/single/?bidPbancNo=R25BK00631110&amp;bidPbancOrd=000" TargetMode="External"/><Relationship Id="rId287" Type="http://schemas.openxmlformats.org/officeDocument/2006/relationships/hyperlink" Target="https://www.g2b.go.kr/link/PNPE027_01/single/?bidPbancNo=R26BK01311987&amp;bidPbancOrd=000" TargetMode="External"/><Relationship Id="rId30" Type="http://schemas.openxmlformats.org/officeDocument/2006/relationships/hyperlink" Target="https://www.g2b.go.kr/link/PNPE027_01/single/?bidPbancNo=R25BK00569640&amp;bidPbancOrd=001" TargetMode="External"/><Relationship Id="rId105" Type="http://schemas.openxmlformats.org/officeDocument/2006/relationships/hyperlink" Target="https://www.g2b.go.kr/link/PNPE027_01/single/?bidPbancNo=20240221311&amp;bidPbancOrd=000" TargetMode="External"/><Relationship Id="rId126" Type="http://schemas.openxmlformats.org/officeDocument/2006/relationships/hyperlink" Target="https://www.g2b.go.kr/link/PNPE027_01/single/?bidPbancNo=20240237784&amp;bidPbancOrd=000" TargetMode="External"/><Relationship Id="rId147" Type="http://schemas.openxmlformats.org/officeDocument/2006/relationships/hyperlink" Target="https://www.g2b.go.kr/link/PNPE027_01/single/?bidPbancNo=R26BK01425528&amp;bidPbancOrd=002" TargetMode="External"/><Relationship Id="rId168" Type="http://schemas.openxmlformats.org/officeDocument/2006/relationships/hyperlink" Target="https://www.g2b.go.kr/link/PNPE027_01/single/?bidPbancNo=20241020425&amp;bidPbancOrd=000" TargetMode="External"/><Relationship Id="rId312" Type="http://schemas.openxmlformats.org/officeDocument/2006/relationships/hyperlink" Target="https://www.g2b.go.kr/link/PNPE027_01/single/?bidPbancNo=R26BK01425528&amp;bidPbancOrd=002" TargetMode="External"/><Relationship Id="rId333" Type="http://schemas.openxmlformats.org/officeDocument/2006/relationships/hyperlink" Target="https://www.g2b.go.kr/link/PNPE027_01/single/?bidPbancNo=R26BK01460201&amp;bidPbancOrd=000" TargetMode="External"/><Relationship Id="rId354" Type="http://schemas.openxmlformats.org/officeDocument/2006/relationships/hyperlink" Target="https://www.g2b.go.kr/link/PNPE027_01/single/?bidPbancNo=R26BK01425740&amp;bidPbancOrd=001" TargetMode="External"/><Relationship Id="rId51" Type="http://schemas.openxmlformats.org/officeDocument/2006/relationships/hyperlink" Target="https://www.g2b.go.kr/link/PNPE027_01/single/?bidPbancNo=R25BK01207877&amp;bidPbancOrd=001" TargetMode="External"/><Relationship Id="rId72" Type="http://schemas.openxmlformats.org/officeDocument/2006/relationships/hyperlink" Target="https://www.g2b.go.kr/link/PNPE027_01/single/?bidPbancNo=20240804568&amp;bidPbancOrd=000" TargetMode="External"/><Relationship Id="rId93" Type="http://schemas.openxmlformats.org/officeDocument/2006/relationships/hyperlink" Target="https://www.g2b.go.kr/link/PNPE027_01/single/?bidPbancNo=R25BK00746601&amp;bidPbancOrd=000" TargetMode="External"/><Relationship Id="rId189" Type="http://schemas.openxmlformats.org/officeDocument/2006/relationships/hyperlink" Target="https://www.g2b.go.kr/link/PNPE027_01/single/?bidPbancNo=20240340056&amp;bidPbancOrd=000" TargetMode="External"/><Relationship Id="rId3" Type="http://schemas.openxmlformats.org/officeDocument/2006/relationships/hyperlink" Target="https://www.g2b.go.kr/link/PNPE027_01/single/?bidPbancNo=R26BK01460201&amp;bidPbancOrd=000" TargetMode="External"/><Relationship Id="rId214" Type="http://schemas.openxmlformats.org/officeDocument/2006/relationships/hyperlink" Target="https://www.g2b.go.kr/link/PNPE027_01/single/?bidPbancNo=R25BK00569640&amp;bidPbancOrd=001" TargetMode="External"/><Relationship Id="rId235" Type="http://schemas.openxmlformats.org/officeDocument/2006/relationships/hyperlink" Target="https://www.g2b.go.kr/link/PNPE027_01/single/?bidPbancNo=R26BK01308919&amp;bidPbancOrd=000" TargetMode="External"/><Relationship Id="rId256" Type="http://schemas.openxmlformats.org/officeDocument/2006/relationships/hyperlink" Target="https://www.g2b.go.kr/link/PNPE027_01/single/?bidPbancNo=20240719833&amp;bidPbancOrd=000" TargetMode="External"/><Relationship Id="rId277" Type="http://schemas.openxmlformats.org/officeDocument/2006/relationships/hyperlink" Target="https://www.g2b.go.kr/link/PNPE027_01/single/?bidPbancNo=R26BK01399677&amp;bidPbancOrd=000" TargetMode="External"/><Relationship Id="rId298" Type="http://schemas.openxmlformats.org/officeDocument/2006/relationships/hyperlink" Target="https://www.g2b.go.kr/link/PNPE027_01/single/?bidPbancNo=R26BK01425609&amp;bidPbancOrd=001" TargetMode="External"/><Relationship Id="rId116" Type="http://schemas.openxmlformats.org/officeDocument/2006/relationships/hyperlink" Target="https://www.g2b.go.kr/link/PNPE027_01/single/?bidPbancNo=R25BK00631110&amp;bidPbancOrd=000" TargetMode="External"/><Relationship Id="rId137" Type="http://schemas.openxmlformats.org/officeDocument/2006/relationships/hyperlink" Target="https://www.g2b.go.kr/link/PNPE027_01/single/?bidPbancNo=R25BK00751811&amp;bidPbancOrd=002" TargetMode="External"/><Relationship Id="rId158" Type="http://schemas.openxmlformats.org/officeDocument/2006/relationships/hyperlink" Target="https://www.g2b.go.kr/link/PNPE027_01/single/?bidPbancNo=R25BK00590852&amp;bidPbancOrd=000" TargetMode="External"/><Relationship Id="rId302" Type="http://schemas.openxmlformats.org/officeDocument/2006/relationships/hyperlink" Target="https://www.g2b.go.kr/link/PNPE027_01/single/?bidPbancNo=R26BK01459651&amp;bidPbancOrd=000" TargetMode="External"/><Relationship Id="rId323" Type="http://schemas.openxmlformats.org/officeDocument/2006/relationships/hyperlink" Target="https://www.g2b.go.kr/link/PNPE027_01/single/?bidPbancNo=R25BK00569820&amp;bidPbancOrd=000" TargetMode="External"/><Relationship Id="rId344" Type="http://schemas.openxmlformats.org/officeDocument/2006/relationships/hyperlink" Target="https://www.g2b.go.kr/link/PNPE027_01/single/?bidPbancNo=20241024075&amp;bidPbancOrd=000" TargetMode="External"/><Relationship Id="rId20" Type="http://schemas.openxmlformats.org/officeDocument/2006/relationships/hyperlink" Target="https://www.g2b.go.kr/link/PNPE027_01/single/?bidPbancNo=R25BK00800338&amp;bidPbancOrd=001" TargetMode="External"/><Relationship Id="rId41" Type="http://schemas.openxmlformats.org/officeDocument/2006/relationships/hyperlink" Target="https://www.g2b.go.kr/link/PNPE027_01/single/?bidPbancNo=20240204144&amp;bidPbancOrd=000" TargetMode="External"/><Relationship Id="rId62" Type="http://schemas.openxmlformats.org/officeDocument/2006/relationships/hyperlink" Target="https://www.g2b.go.kr/link/PNPE027_01/single/?bidPbancNo=R25BK00800338&amp;bidPbancOrd=001" TargetMode="External"/><Relationship Id="rId83" Type="http://schemas.openxmlformats.org/officeDocument/2006/relationships/hyperlink" Target="https://www.g2b.go.kr/link/PNPE027_01/single/?bidPbancNo=R26BK01518591&amp;bidPbancOrd=000" TargetMode="External"/><Relationship Id="rId179" Type="http://schemas.openxmlformats.org/officeDocument/2006/relationships/hyperlink" Target="https://www.g2b.go.kr/link/PNPE027_01/single/?bidPbancNo=R26BK01474710&amp;bidPbancOrd=000" TargetMode="External"/><Relationship Id="rId365" Type="http://schemas.openxmlformats.org/officeDocument/2006/relationships/hyperlink" Target="https://www.g2b.go.kr/link/PNPE027_01/single/?bidPbancNo=R25BK00680661&amp;bidPbancOrd=000" TargetMode="External"/><Relationship Id="rId190" Type="http://schemas.openxmlformats.org/officeDocument/2006/relationships/hyperlink" Target="https://www.g2b.go.kr/link/PNPE027_01/single/?bidPbancNo=20240211820&amp;bidPbancOrd=002" TargetMode="External"/><Relationship Id="rId204" Type="http://schemas.openxmlformats.org/officeDocument/2006/relationships/hyperlink" Target="https://www.g2b.go.kr/link/PNPE027_01/single/?bidPbancNo=20240133790&amp;bidPbancOrd=000" TargetMode="External"/><Relationship Id="rId225" Type="http://schemas.openxmlformats.org/officeDocument/2006/relationships/hyperlink" Target="https://www.g2b.go.kr/link/PNPE027_01/single/?bidPbancNo=R25BK00658751&amp;bidPbancOrd=000" TargetMode="External"/><Relationship Id="rId246" Type="http://schemas.openxmlformats.org/officeDocument/2006/relationships/hyperlink" Target="https://www.g2b.go.kr/link/PNPE027_01/single/?bidPbancNo=R25BK00680661&amp;bidPbancOrd=000" TargetMode="External"/><Relationship Id="rId267" Type="http://schemas.openxmlformats.org/officeDocument/2006/relationships/hyperlink" Target="https://www.g2b.go.kr/link/PNPE027_01/single/?bidPbancNo=20240342762&amp;bidPbancOrd=000" TargetMode="External"/><Relationship Id="rId288" Type="http://schemas.openxmlformats.org/officeDocument/2006/relationships/hyperlink" Target="https://www.g2b.go.kr/link/PNPE027_01/single/?bidPbancNo=R25BK01209634&amp;bidPbancOrd=000" TargetMode="External"/><Relationship Id="rId106" Type="http://schemas.openxmlformats.org/officeDocument/2006/relationships/hyperlink" Target="https://www.g2b.go.kr/link/PNPE027_01/single/?bidPbancNo=20240219539&amp;bidPbancOrd=000" TargetMode="External"/><Relationship Id="rId127" Type="http://schemas.openxmlformats.org/officeDocument/2006/relationships/hyperlink" Target="https://www.g2b.go.kr/link/PNPE027_01/single/?bidPbancNo=20240133790&amp;bidPbancOrd=000" TargetMode="External"/><Relationship Id="rId313" Type="http://schemas.openxmlformats.org/officeDocument/2006/relationships/hyperlink" Target="https://www.g2b.go.kr/link/PNPE027_01/single/?bidPbancNo=R26BK01425740&amp;bidPbancOrd=001" TargetMode="External"/><Relationship Id="rId10" Type="http://schemas.openxmlformats.org/officeDocument/2006/relationships/hyperlink" Target="https://www.g2b.go.kr/link/PNPE027_01/single/?bidPbancNo=R26BK01416565&amp;bidPbancOrd=000" TargetMode="External"/><Relationship Id="rId31" Type="http://schemas.openxmlformats.org/officeDocument/2006/relationships/hyperlink" Target="https://www.g2b.go.kr/link/PNPE027_01/single/?bidPbancNo=20240531384&amp;bidPbancOrd=000" TargetMode="External"/><Relationship Id="rId52" Type="http://schemas.openxmlformats.org/officeDocument/2006/relationships/hyperlink" Target="https://www.g2b.go.kr/link/PNPE027_01/single/?bidPbancNo=R25BK01176684&amp;bidPbancOrd=000" TargetMode="External"/><Relationship Id="rId73" Type="http://schemas.openxmlformats.org/officeDocument/2006/relationships/hyperlink" Target="https://www.g2b.go.kr/link/PNPE027_01/single/?bidPbancNo=20240529557&amp;bidPbancOrd=000" TargetMode="External"/><Relationship Id="rId94" Type="http://schemas.openxmlformats.org/officeDocument/2006/relationships/hyperlink" Target="https://www.g2b.go.kr/link/PNPE027_01/single/?bidPbancNo=R25BK00689948&amp;bidPbancOrd=000" TargetMode="External"/><Relationship Id="rId148" Type="http://schemas.openxmlformats.org/officeDocument/2006/relationships/hyperlink" Target="https://www.g2b.go.kr/link/PNPE027_01/single/?bidPbancNo=R26BK01425740&amp;bidPbancOrd=001" TargetMode="External"/><Relationship Id="rId169" Type="http://schemas.openxmlformats.org/officeDocument/2006/relationships/hyperlink" Target="https://www.g2b.go.kr/link/PNPE027_01/single/?bidPbancNo=20241009207&amp;bidPbancOrd=000" TargetMode="External"/><Relationship Id="rId334" Type="http://schemas.openxmlformats.org/officeDocument/2006/relationships/hyperlink" Target="https://www.g2b.go.kr/link/PNPE027_01/single/?bidPbancNo=R26BK01417516&amp;bidPbancOrd=000" TargetMode="External"/><Relationship Id="rId355" Type="http://schemas.openxmlformats.org/officeDocument/2006/relationships/hyperlink" Target="https://www.g2b.go.kr/link/PNPE027_01/single/?bidPbancNo=R26BK01425609&amp;bidPbancOrd=001" TargetMode="External"/><Relationship Id="rId4" Type="http://schemas.openxmlformats.org/officeDocument/2006/relationships/hyperlink" Target="https://www.g2b.go.kr/link/PNPE027_01/single/?bidPbancNo=R26BK01425821&amp;bidPbancOrd=001" TargetMode="External"/><Relationship Id="rId180" Type="http://schemas.openxmlformats.org/officeDocument/2006/relationships/hyperlink" Target="https://www.g2b.go.kr/link/PNPE027_01/single/?bidPbancNo=R26BK01416636&amp;bidPbancOrd=000" TargetMode="External"/><Relationship Id="rId215" Type="http://schemas.openxmlformats.org/officeDocument/2006/relationships/hyperlink" Target="https://www.g2b.go.kr/link/PNPE027_01/single/?bidPbancNo=20240813005&amp;bidPbancOrd=000" TargetMode="External"/><Relationship Id="rId236" Type="http://schemas.openxmlformats.org/officeDocument/2006/relationships/hyperlink" Target="https://www.g2b.go.kr/link/PNPE027_01/single/?bidPbancNo=R25BK00812059&amp;bidPbancOrd=000" TargetMode="External"/><Relationship Id="rId257" Type="http://schemas.openxmlformats.org/officeDocument/2006/relationships/hyperlink" Target="https://www.g2b.go.kr/link/PNPE027_01/single/?bidPbancNo=20240618990&amp;bidPbancOrd=000" TargetMode="External"/><Relationship Id="rId278" Type="http://schemas.openxmlformats.org/officeDocument/2006/relationships/hyperlink" Target="https://www.g2b.go.kr/link/PNPE027_01/single/?bidPbancNo=R26BK01309430&amp;bidPbancOrd=000" TargetMode="External"/><Relationship Id="rId303" Type="http://schemas.openxmlformats.org/officeDocument/2006/relationships/hyperlink" Target="https://www.g2b.go.kr/link/PNPE027_01/single/?bidPbancNo=R26BK01399677&amp;bidPbancOrd=000" TargetMode="External"/><Relationship Id="rId42" Type="http://schemas.openxmlformats.org/officeDocument/2006/relationships/hyperlink" Target="https://www.g2b.go.kr/link/PNPE027_01/single/?bidPbancNo=20240121252&amp;bidPbancOrd=000" TargetMode="External"/><Relationship Id="rId84" Type="http://schemas.openxmlformats.org/officeDocument/2006/relationships/hyperlink" Target="https://www.g2b.go.kr/link/PNPE027_01/single/?bidPbancNo=R26BK01345183&amp;bidPbancOrd=000" TargetMode="External"/><Relationship Id="rId138" Type="http://schemas.openxmlformats.org/officeDocument/2006/relationships/hyperlink" Target="https://www.g2b.go.kr/link/PNPE027_01/single/?bidPbancNo=R25BK00746601&amp;bidPbancOrd=000" TargetMode="External"/><Relationship Id="rId345" Type="http://schemas.openxmlformats.org/officeDocument/2006/relationships/hyperlink" Target="https://www.g2b.go.kr/link/PNPE027_01/single/?bidPbancNo=R26BK01591889&amp;bidPbancOrd=000" TargetMode="External"/><Relationship Id="rId191" Type="http://schemas.openxmlformats.org/officeDocument/2006/relationships/hyperlink" Target="https://www.g2b.go.kr/link/PNPE027_01/single/?bidPbancNo=20240221311&amp;bidPbancOrd=000" TargetMode="External"/><Relationship Id="rId205" Type="http://schemas.openxmlformats.org/officeDocument/2006/relationships/hyperlink" Target="https://www.g2b.go.kr/link/PNPE027_01/single/?bidPbancNo=20240105019&amp;bidPbancOrd=000" TargetMode="External"/><Relationship Id="rId247" Type="http://schemas.openxmlformats.org/officeDocument/2006/relationships/hyperlink" Target="https://www.g2b.go.kr/link/PNPE027_01/single/?bidPbancNo=20240536974&amp;bidPbancOrd=001" TargetMode="External"/><Relationship Id="rId107" Type="http://schemas.openxmlformats.org/officeDocument/2006/relationships/hyperlink" Target="https://www.g2b.go.kr/link/PNPE027_01/single/?bidPbancNo=20240204144&amp;bidPbancOrd=000" TargetMode="External"/><Relationship Id="rId289" Type="http://schemas.openxmlformats.org/officeDocument/2006/relationships/hyperlink" Target="https://www.g2b.go.kr/link/PNPE027_01/single/?bidPbancNo=R25BK00927838&amp;bidPbancOrd=000" TargetMode="External"/><Relationship Id="rId11" Type="http://schemas.openxmlformats.org/officeDocument/2006/relationships/hyperlink" Target="https://www.g2b.go.kr/link/PNPE027_01/single/?bidPbancNo=R26BK01399677&amp;bidPbancOrd=000" TargetMode="External"/><Relationship Id="rId53" Type="http://schemas.openxmlformats.org/officeDocument/2006/relationships/hyperlink" Target="https://www.g2b.go.kr/link/PNPE027_01/single/?bidPbancNo=R25BK01157585&amp;bidPbancOrd=000" TargetMode="External"/><Relationship Id="rId149" Type="http://schemas.openxmlformats.org/officeDocument/2006/relationships/hyperlink" Target="https://www.g2b.go.kr/link/PNPE027_01/single/?bidPbancNo=R26BK01425609&amp;bidPbancOrd=001" TargetMode="External"/><Relationship Id="rId314" Type="http://schemas.openxmlformats.org/officeDocument/2006/relationships/hyperlink" Target="https://www.g2b.go.kr/link/PNPE027_01/single/?bidPbancNo=R26BK01425609&amp;bidPbancOrd=001" TargetMode="External"/><Relationship Id="rId356" Type="http://schemas.openxmlformats.org/officeDocument/2006/relationships/hyperlink" Target="https://www.g2b.go.kr/link/PNPE027_01/single/?bidPbancNo=R26BK01416565&amp;bidPbancOrd=000" TargetMode="External"/><Relationship Id="rId95" Type="http://schemas.openxmlformats.org/officeDocument/2006/relationships/hyperlink" Target="https://www.g2b.go.kr/link/PNPE027_01/single/?bidPbancNo=R25BK00658751&amp;bidPbancOrd=000" TargetMode="External"/><Relationship Id="rId160" Type="http://schemas.openxmlformats.org/officeDocument/2006/relationships/hyperlink" Target="https://www.g2b.go.kr/link/PNPE027_01/single/?bidPbancNo=20240213128&amp;bidPbancOrd=002" TargetMode="External"/><Relationship Id="rId216" Type="http://schemas.openxmlformats.org/officeDocument/2006/relationships/hyperlink" Target="https://www.g2b.go.kr/link/PNPE027_01/single/?bidPbancNo=20240211798&amp;bidPbancOrd=002" TargetMode="External"/><Relationship Id="rId258" Type="http://schemas.openxmlformats.org/officeDocument/2006/relationships/hyperlink" Target="https://www.g2b.go.kr/link/PNPE027_01/single/?bidPbancNo=20240211820&amp;bidPbancOrd=002" TargetMode="External"/><Relationship Id="rId22" Type="http://schemas.openxmlformats.org/officeDocument/2006/relationships/hyperlink" Target="https://www.g2b.go.kr/link/PNPE027_01/single/?bidPbancNo=R25BK00746601&amp;bidPbancOrd=000" TargetMode="External"/><Relationship Id="rId64" Type="http://schemas.openxmlformats.org/officeDocument/2006/relationships/hyperlink" Target="https://www.g2b.go.kr/link/PNPE027_01/single/?bidPbancNo=R25BK00744612&amp;bidPbancOrd=000" TargetMode="External"/><Relationship Id="rId118" Type="http://schemas.openxmlformats.org/officeDocument/2006/relationships/hyperlink" Target="https://www.g2b.go.kr/link/PNPE027_01/single/?bidPbancNo=R25BK00593760&amp;bidPbancOrd=000" TargetMode="External"/><Relationship Id="rId325" Type="http://schemas.openxmlformats.org/officeDocument/2006/relationships/hyperlink" Target="https://www.g2b.go.kr/link/PNPE027_01/single/?bidPbancNo=20240221311&amp;bidPbancOrd=000" TargetMode="External"/><Relationship Id="rId367" Type="http://schemas.openxmlformats.org/officeDocument/2006/relationships/hyperlink" Target="https://www.g2b.go.kr/link/PNPE027_01/single/?bidPbancNo=20240320111&amp;bidPbancOrd=000" TargetMode="External"/><Relationship Id="rId171" Type="http://schemas.openxmlformats.org/officeDocument/2006/relationships/hyperlink" Target="https://www.g2b.go.kr/link/PNPE027_01/single/?bidPbancNo=20240505489&amp;bidPbancOrd=000" TargetMode="External"/><Relationship Id="rId227" Type="http://schemas.openxmlformats.org/officeDocument/2006/relationships/hyperlink" Target="https://www.g2b.go.kr/link/PNPE027_01/single/?bidPbancNo=20240531147&amp;bidPbancOrd=001" TargetMode="External"/><Relationship Id="rId269" Type="http://schemas.openxmlformats.org/officeDocument/2006/relationships/hyperlink" Target="https://www.g2b.go.kr/link/PNPE027_01/single/?bidPbancNo=R25BK01013002&amp;bidPbancOrd=000" TargetMode="External"/><Relationship Id="rId33" Type="http://schemas.openxmlformats.org/officeDocument/2006/relationships/hyperlink" Target="https://www.g2b.go.kr/link/PNPE027_01/single/?bidPbancNo=20240429389&amp;bidPbancOrd=000" TargetMode="External"/><Relationship Id="rId129" Type="http://schemas.openxmlformats.org/officeDocument/2006/relationships/hyperlink" Target="https://www.g2b.go.kr/link/PNPE027_01/single/?bidPbancNo=R26BK01345249&amp;bidPbancOrd=000" TargetMode="External"/><Relationship Id="rId280" Type="http://schemas.openxmlformats.org/officeDocument/2006/relationships/hyperlink" Target="https://www.g2b.go.kr/link/PNPE027_01/single/?bidPbancNo=R25BK00817312&amp;bidPbancOrd=000" TargetMode="External"/><Relationship Id="rId336" Type="http://schemas.openxmlformats.org/officeDocument/2006/relationships/hyperlink" Target="https://www.g2b.go.kr/link/PNPE027_01/single/?bidPbancNo=20240820730&amp;bidPbancOrd=000" TargetMode="External"/><Relationship Id="rId75" Type="http://schemas.openxmlformats.org/officeDocument/2006/relationships/hyperlink" Target="https://www.g2b.go.kr/link/PNPE027_01/single/?bidPbancNo=20240429389&amp;bidPbancOrd=000" TargetMode="External"/><Relationship Id="rId140" Type="http://schemas.openxmlformats.org/officeDocument/2006/relationships/hyperlink" Target="https://www.g2b.go.kr/link/PNPE027_01/single/?bidPbancNo=R25BK00689948&amp;bidPbancOrd=000" TargetMode="External"/><Relationship Id="rId182" Type="http://schemas.openxmlformats.org/officeDocument/2006/relationships/hyperlink" Target="https://www.g2b.go.kr/link/PNPE027_01/single/?bidPbancNo=R26BK01309430&amp;bidPbancOrd=000" TargetMode="External"/><Relationship Id="rId6" Type="http://schemas.openxmlformats.org/officeDocument/2006/relationships/hyperlink" Target="https://www.g2b.go.kr/link/PNPE027_01/single/?bidPbancNo=R26BK01425740&amp;bidPbancOrd=001" TargetMode="External"/><Relationship Id="rId238" Type="http://schemas.openxmlformats.org/officeDocument/2006/relationships/hyperlink" Target="https://www.g2b.go.kr/link/PNPE027_01/single/?bidPbancNo=R25BK00590997&amp;bidPbancOrd=000" TargetMode="External"/><Relationship Id="rId291" Type="http://schemas.openxmlformats.org/officeDocument/2006/relationships/hyperlink" Target="https://www.g2b.go.kr/link/PNPE027_01/single/?bidPbancNo=R25BK00628001&amp;bidPbancOrd=000" TargetMode="External"/><Relationship Id="rId305" Type="http://schemas.openxmlformats.org/officeDocument/2006/relationships/hyperlink" Target="https://www.g2b.go.kr/link/PNPE027_01/single/?bidPbancNo=R25BK00744612&amp;bidPbancOrd=000" TargetMode="External"/><Relationship Id="rId347" Type="http://schemas.openxmlformats.org/officeDocument/2006/relationships/hyperlink" Target="https://www.g2b.go.kr/link/PNPE027_01/single/?bidPbancNo=R26BK01323997&amp;bidPbancOrd=000" TargetMode="External"/><Relationship Id="rId44" Type="http://schemas.openxmlformats.org/officeDocument/2006/relationships/hyperlink" Target="https://www.g2b.go.kr/link/PNPE027_01/single/?bidPbancNo=R26BK01523319&amp;bidPbancOrd=000" TargetMode="External"/><Relationship Id="rId86" Type="http://schemas.openxmlformats.org/officeDocument/2006/relationships/hyperlink" Target="https://www.g2b.go.kr/link/PNPE027_01/single/?bidPbancNo=R26BK01299935&amp;bidPbancOrd=000" TargetMode="External"/><Relationship Id="rId151" Type="http://schemas.openxmlformats.org/officeDocument/2006/relationships/hyperlink" Target="https://www.g2b.go.kr/link/PNPE027_01/single/?bidPbancNo=R26BK01311987&amp;bidPbancOrd=000" TargetMode="External"/><Relationship Id="rId193" Type="http://schemas.openxmlformats.org/officeDocument/2006/relationships/hyperlink" Target="https://www.g2b.go.kr/link/PNPE027_01/single/?bidPbancNo=R26BK01311987&amp;bidPbancOrd=000" TargetMode="External"/><Relationship Id="rId207" Type="http://schemas.openxmlformats.org/officeDocument/2006/relationships/hyperlink" Target="https://www.g2b.go.kr/link/PNPE027_01/single/?bidPbancNo=R26BK01345183&amp;bidPbancOrd=000" TargetMode="External"/><Relationship Id="rId249" Type="http://schemas.openxmlformats.org/officeDocument/2006/relationships/hyperlink" Target="https://www.g2b.go.kr/link/PNPE027_01/single/?bidPbancNo=20240340415&amp;bidPbancOrd=000" TargetMode="External"/><Relationship Id="rId13" Type="http://schemas.openxmlformats.org/officeDocument/2006/relationships/hyperlink" Target="https://www.g2b.go.kr/link/PNPE027_01/single/?bidPbancNo=R26BK01309430&amp;bidPbancOrd=000" TargetMode="External"/><Relationship Id="rId109" Type="http://schemas.openxmlformats.org/officeDocument/2006/relationships/hyperlink" Target="https://www.g2b.go.kr/link/PNPE027_01/single/?bidPbancNo=R26BK01293383&amp;bidPbancOrd=000" TargetMode="External"/><Relationship Id="rId260" Type="http://schemas.openxmlformats.org/officeDocument/2006/relationships/hyperlink" Target="https://www.g2b.go.kr/link/PNPE027_01/single/?bidPbancNo=R26BK01451207&amp;bidPbancOrd=001" TargetMode="External"/><Relationship Id="rId316" Type="http://schemas.openxmlformats.org/officeDocument/2006/relationships/hyperlink" Target="https://www.g2b.go.kr/link/PNPE027_01/single/?bidPbancNo=R25BK00569905&amp;bidPbancOrd=000" TargetMode="External"/><Relationship Id="rId55" Type="http://schemas.openxmlformats.org/officeDocument/2006/relationships/hyperlink" Target="https://www.g2b.go.kr/link/PNPE027_01/single/?bidPbancNo=R25BK00987733&amp;bidPbancOrd=000" TargetMode="External"/><Relationship Id="rId97" Type="http://schemas.openxmlformats.org/officeDocument/2006/relationships/hyperlink" Target="https://www.g2b.go.kr/link/PNPE027_01/single/?bidPbancNo=R25BK00594568&amp;bidPbancOrd=001" TargetMode="External"/><Relationship Id="rId120" Type="http://schemas.openxmlformats.org/officeDocument/2006/relationships/hyperlink" Target="https://www.g2b.go.kr/link/PNPE027_01/single/?bidPbancNo=20240903621&amp;bidPbancOrd=000" TargetMode="External"/><Relationship Id="rId358" Type="http://schemas.openxmlformats.org/officeDocument/2006/relationships/hyperlink" Target="https://www.g2b.go.kr/link/PNPE027_01/single/?bidPbancNo=R26BK01323639&amp;bidPbancOrd=000" TargetMode="External"/><Relationship Id="rId162" Type="http://schemas.openxmlformats.org/officeDocument/2006/relationships/hyperlink" Target="https://www.g2b.go.kr/link/PNPE027_01/single/?bidPbancNo=20240204144&amp;bidPbancOrd=000" TargetMode="External"/><Relationship Id="rId218" Type="http://schemas.openxmlformats.org/officeDocument/2006/relationships/hyperlink" Target="https://www.g2b.go.kr/link/PNPE027_01/single/?bidPbancNo=R26BK01580142&amp;bidPbancOrd=000" TargetMode="External"/><Relationship Id="rId271" Type="http://schemas.openxmlformats.org/officeDocument/2006/relationships/hyperlink" Target="https://www.g2b.go.kr/link/PNPE027_01/single/?bidPbancNo=R25BK00658751&amp;bidPbancOrd=000" TargetMode="External"/><Relationship Id="rId24" Type="http://schemas.openxmlformats.org/officeDocument/2006/relationships/hyperlink" Target="https://www.g2b.go.kr/link/PNPE027_01/single/?bidPbancNo=R25BK00644874&amp;bidPbancOrd=000" TargetMode="External"/><Relationship Id="rId66" Type="http://schemas.openxmlformats.org/officeDocument/2006/relationships/hyperlink" Target="https://www.g2b.go.kr/link/PNPE027_01/single/?bidPbancNo=R25BK00722919&amp;bidPbancOrd=000" TargetMode="External"/><Relationship Id="rId131" Type="http://schemas.openxmlformats.org/officeDocument/2006/relationships/hyperlink" Target="https://www.g2b.go.kr/link/PNPE027_01/single/?bidPbancNo=R26BK01323997&amp;bidPbancOrd=000" TargetMode="External"/><Relationship Id="rId327" Type="http://schemas.openxmlformats.org/officeDocument/2006/relationships/hyperlink" Target="https://www.g2b.go.kr/link/PNPE027_01/single/?bidPbancNo=R26BK01425821&amp;bidPbancOrd=001" TargetMode="External"/><Relationship Id="rId369" Type="http://schemas.openxmlformats.org/officeDocument/2006/relationships/hyperlink" Target="https://www.g2b.go.kr/link/PNPE027_01/single/?bidPbancNo=R26BK01425821&amp;bidPbancOrd=001" TargetMode="External"/><Relationship Id="rId173" Type="http://schemas.openxmlformats.org/officeDocument/2006/relationships/hyperlink" Target="https://www.g2b.go.kr/link/PNPE027_01/single/?bidPbancNo=20240343266&amp;bidPbancOrd=000" TargetMode="External"/><Relationship Id="rId229" Type="http://schemas.openxmlformats.org/officeDocument/2006/relationships/hyperlink" Target="https://www.g2b.go.kr/link/PNPE027_01/single/?bidPbancNo=R26BK01379423&amp;bidPbancOrd=001" TargetMode="External"/><Relationship Id="rId240" Type="http://schemas.openxmlformats.org/officeDocument/2006/relationships/hyperlink" Target="https://www.g2b.go.kr/link/PNPE027_01/single/?bidPbancNo=R26BK01459651&amp;bidPbancOrd=000" TargetMode="External"/><Relationship Id="rId35" Type="http://schemas.openxmlformats.org/officeDocument/2006/relationships/hyperlink" Target="https://www.g2b.go.kr/link/PNPE027_01/single/?bidPbancNo=20240402848&amp;bidPbancOrd=000" TargetMode="External"/><Relationship Id="rId77" Type="http://schemas.openxmlformats.org/officeDocument/2006/relationships/hyperlink" Target="https://www.g2b.go.kr/link/PNPE027_01/single/?bidPbancNo=20240320111&amp;bidPbancOrd=000" TargetMode="External"/><Relationship Id="rId100" Type="http://schemas.openxmlformats.org/officeDocument/2006/relationships/hyperlink" Target="https://www.g2b.go.kr/link/PNPE027_01/single/?bidPbancNo=R25BK00590997&amp;bidPbancOrd=000" TargetMode="External"/><Relationship Id="rId282" Type="http://schemas.openxmlformats.org/officeDocument/2006/relationships/hyperlink" Target="https://www.g2b.go.kr/link/PNPE027_01/single/?bidPbancNo=R25BK00744612&amp;bidPbancOrd=000" TargetMode="External"/><Relationship Id="rId338" Type="http://schemas.openxmlformats.org/officeDocument/2006/relationships/hyperlink" Target="https://www.g2b.go.kr/link/PNPE027_01/single/?bidPbancNo=20240219539&amp;bidPbancOrd=000" TargetMode="External"/><Relationship Id="rId8" Type="http://schemas.openxmlformats.org/officeDocument/2006/relationships/hyperlink" Target="https://www.g2b.go.kr/link/PNPE027_01/single/?bidPbancNo=R26BK01417516&amp;bidPbancOrd=000" TargetMode="External"/><Relationship Id="rId142" Type="http://schemas.openxmlformats.org/officeDocument/2006/relationships/hyperlink" Target="https://www.g2b.go.kr/link/PNPE027_01/single/?bidPbancNo=20240427767&amp;bidPbancOrd=000" TargetMode="External"/><Relationship Id="rId184" Type="http://schemas.openxmlformats.org/officeDocument/2006/relationships/hyperlink" Target="https://www.g2b.go.kr/link/PNPE027_01/single/?bidPbancNo=R25BK00860970&amp;bidPbancOrd=000" TargetMode="External"/><Relationship Id="rId251" Type="http://schemas.openxmlformats.org/officeDocument/2006/relationships/hyperlink" Target="https://www.g2b.go.kr/link/PNPE027_01/single/?bidPbancNo=R26BK01345183&amp;bidPbancOrd=000" TargetMode="External"/><Relationship Id="rId46" Type="http://schemas.openxmlformats.org/officeDocument/2006/relationships/hyperlink" Target="https://www.g2b.go.kr/link/PNPE027_01/single/?bidPbancNo=R26BK01431412&amp;bidPbancOrd=000" TargetMode="External"/><Relationship Id="rId293" Type="http://schemas.openxmlformats.org/officeDocument/2006/relationships/hyperlink" Target="https://www.g2b.go.kr/link/PNPE027_01/single/?bidPbancNo=20240221311&amp;bidPbancOrd=000" TargetMode="External"/><Relationship Id="rId307" Type="http://schemas.openxmlformats.org/officeDocument/2006/relationships/hyperlink" Target="https://www.g2b.go.kr/link/PNPE027_01/single/?bidPbancNo=20240327030&amp;bidPbancOrd=000" TargetMode="External"/><Relationship Id="rId349" Type="http://schemas.openxmlformats.org/officeDocument/2006/relationships/hyperlink" Target="https://www.g2b.go.kr/link/PNPE027_01/single/?bidPbancNo=R25BK00812059&amp;bidPbancOrd=000" TargetMode="External"/><Relationship Id="rId88" Type="http://schemas.openxmlformats.org/officeDocument/2006/relationships/hyperlink" Target="https://www.g2b.go.kr/link/PNPE027_01/single/?bidPbancNo=R25BK01157585&amp;bidPbancOrd=000" TargetMode="External"/><Relationship Id="rId111" Type="http://schemas.openxmlformats.org/officeDocument/2006/relationships/hyperlink" Target="https://www.g2b.go.kr/link/PNPE027_01/single/?bidPbancNo=R25BK01171303&amp;bidPbancOrd=000" TargetMode="External"/><Relationship Id="rId153" Type="http://schemas.openxmlformats.org/officeDocument/2006/relationships/hyperlink" Target="https://www.g2b.go.kr/link/PNPE027_01/single/?bidPbancNo=R25BK00869486&amp;bidPbancOrd=000" TargetMode="External"/><Relationship Id="rId195" Type="http://schemas.openxmlformats.org/officeDocument/2006/relationships/hyperlink" Target="https://www.g2b.go.kr/link/PNPE027_01/single/?bidPbancNo=R25BK00781454&amp;bidPbancOrd=000" TargetMode="External"/><Relationship Id="rId209" Type="http://schemas.openxmlformats.org/officeDocument/2006/relationships/hyperlink" Target="https://www.g2b.go.kr/link/PNPE027_01/single/?bidPbancNo=R25BK00762128&amp;bidPbancOrd=001" TargetMode="External"/><Relationship Id="rId360" Type="http://schemas.openxmlformats.org/officeDocument/2006/relationships/hyperlink" Target="https://www.g2b.go.kr/link/PNPE027_01/single/?bidPbancNo=R25BK00597544&amp;bidPbancOrd=001" TargetMode="External"/><Relationship Id="rId220" Type="http://schemas.openxmlformats.org/officeDocument/2006/relationships/hyperlink" Target="https://www.g2b.go.kr/link/PNPE027_01/single/?bidPbancNo=R25BK01171303&amp;bidPbancOrd=000" TargetMode="External"/><Relationship Id="rId15" Type="http://schemas.openxmlformats.org/officeDocument/2006/relationships/hyperlink" Target="https://www.g2b.go.kr/link/PNPE027_01/single/?bidPbancNo=R25BK00908142&amp;bidPbancOrd=000" TargetMode="External"/><Relationship Id="rId57" Type="http://schemas.openxmlformats.org/officeDocument/2006/relationships/hyperlink" Target="https://www.g2b.go.kr/link/PNPE027_01/single/?bidPbancNo=R25BK00887640&amp;bidPbancOrd=000" TargetMode="External"/><Relationship Id="rId262" Type="http://schemas.openxmlformats.org/officeDocument/2006/relationships/hyperlink" Target="https://www.g2b.go.kr/link/PNPE027_01/single/?bidPbancNo=R26BK01364377&amp;bidPbancOrd=000" TargetMode="External"/><Relationship Id="rId318" Type="http://schemas.openxmlformats.org/officeDocument/2006/relationships/hyperlink" Target="https://www.g2b.go.kr/link/PNPE027_01/single/?bidPbancNo=R26BK01460201&amp;bidPbancOrd=000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2b.go.kr/link/PNPE027_01/single/?bidPbancNo=R26BK01544612&amp;bidPbancOrd=000" TargetMode="External"/><Relationship Id="rId21" Type="http://schemas.openxmlformats.org/officeDocument/2006/relationships/hyperlink" Target="https://www.g2b.go.kr/link/PNPE027_01/single/?bidPbancNo=R26BK01504144&amp;bidPbancOrd=000" TargetMode="External"/><Relationship Id="rId42" Type="http://schemas.openxmlformats.org/officeDocument/2006/relationships/hyperlink" Target="https://www.g2b.go.kr/link/PNPE027_01/single/?bidPbancNo=R26BK01364377&amp;bidPbancOrd=000" TargetMode="External"/><Relationship Id="rId63" Type="http://schemas.openxmlformats.org/officeDocument/2006/relationships/hyperlink" Target="https://www.g2b.go.kr/link/PNPE027_01/single/?bidPbancNo=R26BK01620157&amp;bidPbancOrd=000" TargetMode="External"/><Relationship Id="rId84" Type="http://schemas.openxmlformats.org/officeDocument/2006/relationships/hyperlink" Target="https://www.g2b.go.kr/link/PNPE027_01/single/?bidPbancNo=R26BK01399296&amp;bidPbancOrd=000" TargetMode="External"/><Relationship Id="rId16" Type="http://schemas.openxmlformats.org/officeDocument/2006/relationships/hyperlink" Target="https://www.g2b.go.kr/link/PNPE027_01/single/?bidPbancNo=R26BK01477912&amp;bidPbancOrd=000" TargetMode="External"/><Relationship Id="rId107" Type="http://schemas.openxmlformats.org/officeDocument/2006/relationships/hyperlink" Target="https://www.g2b.go.kr/link/PNPE027_01/single/?bidPbancNo=R26BK01490624&amp;bidPbancOrd=000" TargetMode="External"/><Relationship Id="rId11" Type="http://schemas.openxmlformats.org/officeDocument/2006/relationships/hyperlink" Target="https://www.g2b.go.kr/link/PNPE027_01/single/?bidPbancNo=R26BK01399677&amp;bidPbancOrd=000" TargetMode="External"/><Relationship Id="rId32" Type="http://schemas.openxmlformats.org/officeDocument/2006/relationships/hyperlink" Target="https://www.g2b.go.kr/link/PNPE027_01/single/?bidPbancNo=R26BK01574111&amp;bidPbancOrd=000" TargetMode="External"/><Relationship Id="rId37" Type="http://schemas.openxmlformats.org/officeDocument/2006/relationships/hyperlink" Target="https://www.g2b.go.kr/link/PNPE027_01/single/?bidPbancNo=R26BK01630535&amp;bidPbancOrd=000" TargetMode="External"/><Relationship Id="rId53" Type="http://schemas.openxmlformats.org/officeDocument/2006/relationships/hyperlink" Target="https://www.g2b.go.kr/link/PNPE027_01/single/?bidPbancNo=R26BK01492407&amp;bidPbancOrd=000" TargetMode="External"/><Relationship Id="rId58" Type="http://schemas.openxmlformats.org/officeDocument/2006/relationships/hyperlink" Target="https://www.g2b.go.kr/link/PNPE027_01/single/?bidPbancNo=R26BK01539133&amp;bidPbancOrd=000" TargetMode="External"/><Relationship Id="rId74" Type="http://schemas.openxmlformats.org/officeDocument/2006/relationships/hyperlink" Target="https://www.g2b.go.kr/link/PNPE027_01/single/?bidPbancNo=R26BK01323997&amp;bidPbancOrd=000" TargetMode="External"/><Relationship Id="rId79" Type="http://schemas.openxmlformats.org/officeDocument/2006/relationships/hyperlink" Target="https://www.g2b.go.kr/link/PNPE027_01/single/?bidPbancNo=R26BK01360917&amp;bidPbancOrd=000" TargetMode="External"/><Relationship Id="rId102" Type="http://schemas.openxmlformats.org/officeDocument/2006/relationships/hyperlink" Target="https://www.g2b.go.kr/link/PNPE027_01/single/?bidPbancNo=R26BK01379423&amp;bidPbancOrd=001" TargetMode="External"/><Relationship Id="rId123" Type="http://schemas.openxmlformats.org/officeDocument/2006/relationships/hyperlink" Target="https://www.g2b.go.kr/link/PNPE027_01/single/?bidPbancNo=R26BK01578680&amp;bidPbancOrd=002" TargetMode="External"/><Relationship Id="rId128" Type="http://schemas.openxmlformats.org/officeDocument/2006/relationships/hyperlink" Target="https://www.g2b.go.kr/link/PNPE027_01/single/?bidPbancNo=R26BK01610593&amp;bidPbancOrd=000" TargetMode="External"/><Relationship Id="rId5" Type="http://schemas.openxmlformats.org/officeDocument/2006/relationships/hyperlink" Target="https://www.g2b.go.kr/link/PNPE027_01/single/?bidPbancNo=R26BK01263375&amp;bidPbancOrd=000" TargetMode="External"/><Relationship Id="rId90" Type="http://schemas.openxmlformats.org/officeDocument/2006/relationships/hyperlink" Target="https://www.g2b.go.kr/link/PNPE027_01/single/?bidPbancNo=R26BK01419872&amp;bidPbancOrd=000" TargetMode="External"/><Relationship Id="rId95" Type="http://schemas.openxmlformats.org/officeDocument/2006/relationships/hyperlink" Target="https://www.g2b.go.kr/link/PNPE027_01/single/?bidPbancNo=R26BK01425528&amp;bidPbancOrd=002" TargetMode="External"/><Relationship Id="rId22" Type="http://schemas.openxmlformats.org/officeDocument/2006/relationships/hyperlink" Target="https://www.g2b.go.kr/link/PNPE027_01/single/?bidPbancNo=R26BK01523319&amp;bidPbancOrd=000" TargetMode="External"/><Relationship Id="rId27" Type="http://schemas.openxmlformats.org/officeDocument/2006/relationships/hyperlink" Target="https://www.g2b.go.kr/link/PNPE027_01/single/?bidPbancNo=R26BK01552309&amp;bidPbancOrd=000&amp;prcmBsneSeCd=09&amp;pbancType=pbanc" TargetMode="External"/><Relationship Id="rId43" Type="http://schemas.openxmlformats.org/officeDocument/2006/relationships/hyperlink" Target="https://www.g2b.go.kr/link/PNPE027_01/single/?bidPbancNo=R26BK01385582&amp;bidPbancOrd=000" TargetMode="External"/><Relationship Id="rId48" Type="http://schemas.openxmlformats.org/officeDocument/2006/relationships/hyperlink" Target="https://www.g2b.go.kr/link/PNPE027_01/single/?bidPbancNo=R26BK01463351&amp;bidPbancOrd=001" TargetMode="External"/><Relationship Id="rId64" Type="http://schemas.openxmlformats.org/officeDocument/2006/relationships/hyperlink" Target="https://www.g2b.go.kr/link/PNPE027_01/single/?bidPbancNo=R26BK01630493&amp;bidPbancOrd=000" TargetMode="External"/><Relationship Id="rId69" Type="http://schemas.openxmlformats.org/officeDocument/2006/relationships/hyperlink" Target="https://www.g2b.go.kr/link/PNPE027_01/single/?bidPbancNo=R26BK01308616&amp;bidPbancOrd=000" TargetMode="External"/><Relationship Id="rId113" Type="http://schemas.openxmlformats.org/officeDocument/2006/relationships/hyperlink" Target="https://www.g2b.go.kr/link/PNPE027_01/single/?bidPbancNo=R26BK01518591&amp;bidPbancOrd=000" TargetMode="External"/><Relationship Id="rId118" Type="http://schemas.openxmlformats.org/officeDocument/2006/relationships/hyperlink" Target="https://www.g2b.go.kr/link/PNPE027_01/single/?bidPbancNo=R26BK01550223&amp;bidPbancOrd=000" TargetMode="External"/><Relationship Id="rId80" Type="http://schemas.openxmlformats.org/officeDocument/2006/relationships/hyperlink" Target="https://www.g2b.go.kr/link/PNPE027_01/single/?bidPbancNo=R26BK01363925&amp;bidPbancOrd=000" TargetMode="External"/><Relationship Id="rId85" Type="http://schemas.openxmlformats.org/officeDocument/2006/relationships/hyperlink" Target="https://www.g2b.go.kr/link/PNPE027_01/single/?bidPbancNo=R26BK01405855&amp;bidPbancOrd=000" TargetMode="External"/><Relationship Id="rId12" Type="http://schemas.openxmlformats.org/officeDocument/2006/relationships/hyperlink" Target="https://www.g2b.go.kr/link/PNPE027_01/single/?bidPbancNo=R26BK01423271&amp;bidPbancOrd=000" TargetMode="External"/><Relationship Id="rId17" Type="http://schemas.openxmlformats.org/officeDocument/2006/relationships/hyperlink" Target="https://www.g2b.go.kr/link/PNPE027_01/single/?bidPbancNo=R26BK01482063&amp;bidPbancOrd=000" TargetMode="External"/><Relationship Id="rId33" Type="http://schemas.openxmlformats.org/officeDocument/2006/relationships/hyperlink" Target="https://www.g2b.go.kr/link/PNPE027_01/single/?bidPbancNo=R26BK01580142&amp;bidPbancOrd=000" TargetMode="External"/><Relationship Id="rId38" Type="http://schemas.openxmlformats.org/officeDocument/2006/relationships/hyperlink" Target="https://www.g2b.go.kr/link/PNPE027_01/single/?bidPbancNo=R26BK01631256&amp;bidPbancOrd=000" TargetMode="External"/><Relationship Id="rId59" Type="http://schemas.openxmlformats.org/officeDocument/2006/relationships/hyperlink" Target="https://www.g2b.go.kr/link/PNPE027_01/single/?bidPbancNo=R26BK01576782&amp;bidPbancOrd=000" TargetMode="External"/><Relationship Id="rId103" Type="http://schemas.openxmlformats.org/officeDocument/2006/relationships/hyperlink" Target="https://www.g2b.go.kr/link/PNPE027_01/single/?bidPbancNo=R26BK01474710&amp;bidPbancOrd=000" TargetMode="External"/><Relationship Id="rId108" Type="http://schemas.openxmlformats.org/officeDocument/2006/relationships/hyperlink" Target="https://www.g2b.go.kr/link/PNPE027_01/single/?bidPbancNo=R26BK01497750&amp;bidPbancOrd=000" TargetMode="External"/><Relationship Id="rId124" Type="http://schemas.openxmlformats.org/officeDocument/2006/relationships/hyperlink" Target="https://www.g2b.go.kr/link/PNPE027_01/single/?bidPbancNo=R26BK01591767&amp;bidPbancOrd=001" TargetMode="External"/><Relationship Id="rId129" Type="http://schemas.openxmlformats.org/officeDocument/2006/relationships/hyperlink" Target="https://www.g2b.go.kr/link/PNPE027_01/single/?bidPbancNo=R26BK01615019&amp;bidPbancOrd=000" TargetMode="External"/><Relationship Id="rId54" Type="http://schemas.openxmlformats.org/officeDocument/2006/relationships/hyperlink" Target="https://www.g2b.go.kr/link/PNPE027_01/single/?bidPbancNo=R26BK01492745&amp;bidPbancOrd=000" TargetMode="External"/><Relationship Id="rId70" Type="http://schemas.openxmlformats.org/officeDocument/2006/relationships/hyperlink" Target="https://www.g2b.go.kr/link/PNPE027_01/single/?bidPbancNo=R26BK01308919&amp;bidPbancOrd=000" TargetMode="External"/><Relationship Id="rId75" Type="http://schemas.openxmlformats.org/officeDocument/2006/relationships/hyperlink" Target="https://www.g2b.go.kr/link/PNPE027_01/single/?bidPbancNo=R26BK01323639&amp;bidPbancOrd=000" TargetMode="External"/><Relationship Id="rId91" Type="http://schemas.openxmlformats.org/officeDocument/2006/relationships/hyperlink" Target="https://www.g2b.go.kr/link/PNPE027_01/single/?bidPbancNo=R26BK01424472&amp;bidPbancOrd=000" TargetMode="External"/><Relationship Id="rId96" Type="http://schemas.openxmlformats.org/officeDocument/2006/relationships/hyperlink" Target="https://www.g2b.go.kr/link/PNPE027_01/single/?bidPbancNo=R26BK01425821&amp;bidPbancOrd=001" TargetMode="External"/><Relationship Id="rId1" Type="http://schemas.openxmlformats.org/officeDocument/2006/relationships/hyperlink" Target="https://www.g2b.go.kr/link/PNPE027_01/single/?bidPbancNo=R26BK01634205&amp;bidPbancOrd=000" TargetMode="External"/><Relationship Id="rId6" Type="http://schemas.openxmlformats.org/officeDocument/2006/relationships/hyperlink" Target="https://www.g2b.go.kr/link/PNPE027_01/single/?bidPbancNo=R26BK01293383&amp;bidPbancOrd=000" TargetMode="External"/><Relationship Id="rId23" Type="http://schemas.openxmlformats.org/officeDocument/2006/relationships/hyperlink" Target="https://www.g2b.go.kr/link/PNPE027_01/single/?bidPbancNo=R26BK01530174&amp;bidPbancOrd=000" TargetMode="External"/><Relationship Id="rId28" Type="http://schemas.openxmlformats.org/officeDocument/2006/relationships/hyperlink" Target="https://www.g2b.go.kr/link/PNPE027_01/single/?bidPbancNo=R26BK01553747&amp;bidPbancOrd=000" TargetMode="External"/><Relationship Id="rId49" Type="http://schemas.openxmlformats.org/officeDocument/2006/relationships/hyperlink" Target="https://www.g2b.go.kr/link/PNPE027_01/single/?bidPbancNo=R26BK01471160&amp;bidPbancOrd=000" TargetMode="External"/><Relationship Id="rId114" Type="http://schemas.openxmlformats.org/officeDocument/2006/relationships/hyperlink" Target="https://www.g2b.go.kr/link/PNPE027_01/single/?bidPbancNo=R26BK01518604&amp;bidPbancOrd=000" TargetMode="External"/><Relationship Id="rId119" Type="http://schemas.openxmlformats.org/officeDocument/2006/relationships/hyperlink" Target="https://www.g2b.go.kr/link/PNPE027_01/single/?bidPbancNo=R26BK01564349&amp;bidPbancOrd=000" TargetMode="External"/><Relationship Id="rId44" Type="http://schemas.openxmlformats.org/officeDocument/2006/relationships/hyperlink" Target="https://www.g2b.go.kr/link/PNPE027_01/single/?bidPbancNo=R26BK01392554&amp;bidPbancOrd=000" TargetMode="External"/><Relationship Id="rId60" Type="http://schemas.openxmlformats.org/officeDocument/2006/relationships/hyperlink" Target="https://www.g2b.go.kr/link/PNPE027_01/single/?bidPbancNo=R26BK01593897&amp;bidPbancOrd=000" TargetMode="External"/><Relationship Id="rId65" Type="http://schemas.openxmlformats.org/officeDocument/2006/relationships/hyperlink" Target="https://www.g2b.go.kr/link/PNPE027_01/single/?bidPbancNo=R26BK01631661&amp;bidPbancOrd=001" TargetMode="External"/><Relationship Id="rId81" Type="http://schemas.openxmlformats.org/officeDocument/2006/relationships/hyperlink" Target="https://www.g2b.go.kr/link/PNPE027_01/single/?bidPbancNo=R26BK01368213&amp;bidPbancOrd=000" TargetMode="External"/><Relationship Id="rId86" Type="http://schemas.openxmlformats.org/officeDocument/2006/relationships/hyperlink" Target="https://www.g2b.go.kr/link/PNPE027_01/single/?bidPbancNo=R26BK01414553&amp;bidPbancOrd=000" TargetMode="External"/><Relationship Id="rId130" Type="http://schemas.openxmlformats.org/officeDocument/2006/relationships/hyperlink" Target="https://www.g2b.go.kr/link/PNPE027_01/single/?bidPbancNo=R26BK01618993&amp;bidPbancOrd=000" TargetMode="External"/><Relationship Id="rId13" Type="http://schemas.openxmlformats.org/officeDocument/2006/relationships/hyperlink" Target="https://www.g2b.go.kr/link/PNPE027_01/single/?bidPbancNo=R26BK01431412&amp;bidPbancOrd=000" TargetMode="External"/><Relationship Id="rId18" Type="http://schemas.openxmlformats.org/officeDocument/2006/relationships/hyperlink" Target="https://www.g2b.go.kr/link/PNPE027_01/single/?bidPbancNo=R26BK01481937&amp;bidPbancOrd=000" TargetMode="External"/><Relationship Id="rId39" Type="http://schemas.openxmlformats.org/officeDocument/2006/relationships/hyperlink" Target="https://www.g2b.go.kr/link/PNPE027_01/single/?bidPbancNo=R26BK01636926&amp;bidPbancOrd=000" TargetMode="External"/><Relationship Id="rId109" Type="http://schemas.openxmlformats.org/officeDocument/2006/relationships/hyperlink" Target="https://www.g2b.go.kr/link/PNPE027_01/single/?bidPbancNo=R26BK01503883&amp;bidPbancOrd=000" TargetMode="External"/><Relationship Id="rId34" Type="http://schemas.openxmlformats.org/officeDocument/2006/relationships/hyperlink" Target="https://www.g2b.go.kr/link/PNPE027_01/single/?bidPbancNo=R26BK01572842&amp;bidPbancOrd=000" TargetMode="External"/><Relationship Id="rId50" Type="http://schemas.openxmlformats.org/officeDocument/2006/relationships/hyperlink" Target="https://www.g2b.go.kr/link/PNPE027_01/single/?bidPbancNo=R26BK01474898&amp;bidPbancOrd=000" TargetMode="External"/><Relationship Id="rId55" Type="http://schemas.openxmlformats.org/officeDocument/2006/relationships/hyperlink" Target="https://www.g2b.go.kr/link/PNPE027_01/single/?bidPbancNo=R26BK01500341&amp;bidPbancOrd=000" TargetMode="External"/><Relationship Id="rId76" Type="http://schemas.openxmlformats.org/officeDocument/2006/relationships/hyperlink" Target="https://www.g2b.go.kr/link/PNPE027_01/single/?bidPbancNo=R26BK01323636&amp;bidPbancOrd=000" TargetMode="External"/><Relationship Id="rId97" Type="http://schemas.openxmlformats.org/officeDocument/2006/relationships/hyperlink" Target="https://www.g2b.go.kr/link/PNPE027_01/single/?bidPbancNo=R26BK01432349&amp;bidPbancOrd=000" TargetMode="External"/><Relationship Id="rId104" Type="http://schemas.openxmlformats.org/officeDocument/2006/relationships/hyperlink" Target="https://www.g2b.go.kr/link/PNPE027_01/single/?bidPbancNo=R26BK01472614&amp;bidPbancOrd=001" TargetMode="External"/><Relationship Id="rId120" Type="http://schemas.openxmlformats.org/officeDocument/2006/relationships/hyperlink" Target="https://www.g2b.go.kr/link/PNPE027_01/single/?bidPbancNo=R26BK01565106&amp;bidPbancOrd=000" TargetMode="External"/><Relationship Id="rId125" Type="http://schemas.openxmlformats.org/officeDocument/2006/relationships/hyperlink" Target="https://www.g2b.go.kr/link/PNPE027_01/single/?bidPbancNo=R26BK01591889&amp;bidPbancOrd=000" TargetMode="External"/><Relationship Id="rId7" Type="http://schemas.openxmlformats.org/officeDocument/2006/relationships/hyperlink" Target="https://www.g2b.go.kr/link/PNPE027_01/single/?bidPbancNo=R26BK01295074&amp;bidPbancOrd=000" TargetMode="External"/><Relationship Id="rId71" Type="http://schemas.openxmlformats.org/officeDocument/2006/relationships/hyperlink" Target="https://www.g2b.go.kr/link/PNPE027_01/single/?bidPbancNo=R26BK01311836&amp;bidPbancOrd=000" TargetMode="External"/><Relationship Id="rId92" Type="http://schemas.openxmlformats.org/officeDocument/2006/relationships/hyperlink" Target="https://www.g2b.go.kr/link/PNPE027_01/single/?bidPbancNo=R26BK01411408&amp;bidPbancOrd=000" TargetMode="External"/><Relationship Id="rId2" Type="http://schemas.openxmlformats.org/officeDocument/2006/relationships/hyperlink" Target="https://www.g2b.go.kr/link/PNPE027_01/single/?bidPbancNo=R26BK01642280&amp;bidPbancOrd=000" TargetMode="External"/><Relationship Id="rId29" Type="http://schemas.openxmlformats.org/officeDocument/2006/relationships/hyperlink" Target="https://www.g2b.go.kr/link/PNPE027_01/single/?bidPbancNo=R26BK01553158&amp;bidPbancOrd=001" TargetMode="External"/><Relationship Id="rId24" Type="http://schemas.openxmlformats.org/officeDocument/2006/relationships/hyperlink" Target="https://www.g2b.go.kr/link/PNPE027_01/single/?bidPbancNo=R26BK01537453&amp;bidPbancOrd=000" TargetMode="External"/><Relationship Id="rId40" Type="http://schemas.openxmlformats.org/officeDocument/2006/relationships/hyperlink" Target="https://www.g2b.go.kr/link/PNPE027_01/single/?bidPbancNo=R26BK01331456&amp;bidPbancOrd=000" TargetMode="External"/><Relationship Id="rId45" Type="http://schemas.openxmlformats.org/officeDocument/2006/relationships/hyperlink" Target="https://www.g2b.go.kr/link/PNPE027_01/single/?bidPbancNo=R26BK01418766&amp;bidPbancOrd=000" TargetMode="External"/><Relationship Id="rId66" Type="http://schemas.openxmlformats.org/officeDocument/2006/relationships/hyperlink" Target="https://www.g2b.go.kr/link/PNPE027_01/single/?bidPbancNo=R26BK01638742&amp;bidPbancOrd=000" TargetMode="External"/><Relationship Id="rId87" Type="http://schemas.openxmlformats.org/officeDocument/2006/relationships/hyperlink" Target="https://www.g2b.go.kr/link/PNPE027_01/single/?bidPbancNo=R26BK01416565&amp;bidPbancOrd=000" TargetMode="External"/><Relationship Id="rId110" Type="http://schemas.openxmlformats.org/officeDocument/2006/relationships/hyperlink" Target="https://www.g2b.go.kr/link/PNPE027_01/single/?bidPbancNo=R26BK01506630&amp;bidPbancOrd=000" TargetMode="External"/><Relationship Id="rId115" Type="http://schemas.openxmlformats.org/officeDocument/2006/relationships/hyperlink" Target="https://www.g2b.go.kr/link/PNPE027_01/single/?bidPbancNo=R26BK01519564&amp;bidPbancOrd=000" TargetMode="External"/><Relationship Id="rId131" Type="http://schemas.openxmlformats.org/officeDocument/2006/relationships/table" Target="../tables/table1.xml"/><Relationship Id="rId61" Type="http://schemas.openxmlformats.org/officeDocument/2006/relationships/hyperlink" Target="https://www.g2b.go.kr/link/PNPE027_01/single/?bidPbancNo=R26BK01606502&amp;bidPbancOrd=000" TargetMode="External"/><Relationship Id="rId82" Type="http://schemas.openxmlformats.org/officeDocument/2006/relationships/hyperlink" Target="https://www.g2b.go.kr/link/PNPE027_01/single/?bidPbancNo=R26BK01369714&amp;bidPbancOrd=000" TargetMode="External"/><Relationship Id="rId19" Type="http://schemas.openxmlformats.org/officeDocument/2006/relationships/hyperlink" Target="https://www.g2b.go.kr/link/PNPE027_01/single/?bidPbancNo=R26BK01486096&amp;bidPbancOrd=000" TargetMode="External"/><Relationship Id="rId14" Type="http://schemas.openxmlformats.org/officeDocument/2006/relationships/hyperlink" Target="https://www.g2b.go.kr/link/PNPE027_01/single/?bidPbancNo=R26BK01432225&amp;bidPbancOrd=001" TargetMode="External"/><Relationship Id="rId30" Type="http://schemas.openxmlformats.org/officeDocument/2006/relationships/hyperlink" Target="https://www.g2b.go.kr/link/PNPE027_01/single/?bidPbancNo=R26BK01560988&amp;bidPbancOrd=000" TargetMode="External"/><Relationship Id="rId35" Type="http://schemas.openxmlformats.org/officeDocument/2006/relationships/hyperlink" Target="https://www.g2b.go.kr/link/PNPE027_01/single/?bidPbancNo=R26BK01615802&amp;bidPbancOrd=000" TargetMode="External"/><Relationship Id="rId56" Type="http://schemas.openxmlformats.org/officeDocument/2006/relationships/hyperlink" Target="https://www.g2b.go.kr/link/PNPE027_01/single/?bidPbancNo=R26BK01524630&amp;bidPbancOrd=000" TargetMode="External"/><Relationship Id="rId77" Type="http://schemas.openxmlformats.org/officeDocument/2006/relationships/hyperlink" Target="https://www.g2b.go.kr/link/PNPE027_01/single/?bidPbancNo=R26BK01345183&amp;bidPbancOrd=000" TargetMode="External"/><Relationship Id="rId100" Type="http://schemas.openxmlformats.org/officeDocument/2006/relationships/hyperlink" Target="https://www.g2b.go.kr/link/PNPE027_01/single/?bidPbancNo=R26BK01460201&amp;bidPbancOrd=000" TargetMode="External"/><Relationship Id="rId105" Type="http://schemas.openxmlformats.org/officeDocument/2006/relationships/hyperlink" Target="https://www.g2b.go.kr/link/PNPE027_01/single/?bidPbancNo=R26BK01478530&amp;bidPbancOrd=000" TargetMode="External"/><Relationship Id="rId126" Type="http://schemas.openxmlformats.org/officeDocument/2006/relationships/hyperlink" Target="https://www.g2b.go.kr/link/PNPE027_01/single/?bidPbancNo=R26BK01588288&amp;bidPbancOrd=000" TargetMode="External"/><Relationship Id="rId8" Type="http://schemas.openxmlformats.org/officeDocument/2006/relationships/hyperlink" Target="https://www.g2b.go.kr/link/PNPE027_01/single/?bidPbancNo=R26BK01299935&amp;bidPbancOrd=000" TargetMode="External"/><Relationship Id="rId51" Type="http://schemas.openxmlformats.org/officeDocument/2006/relationships/hyperlink" Target="https://www.g2b.go.kr/link/PNPE027_01/single/?bidPbancNo=R26BK01486774&amp;bidPbancOrd=000" TargetMode="External"/><Relationship Id="rId72" Type="http://schemas.openxmlformats.org/officeDocument/2006/relationships/hyperlink" Target="https://www.g2b.go.kr/link/PNPE027_01/single/?bidPbancNo=R26BK01312116&amp;bidPbancOrd=000" TargetMode="External"/><Relationship Id="rId93" Type="http://schemas.openxmlformats.org/officeDocument/2006/relationships/hyperlink" Target="https://www.g2b.go.kr/link/PNPE027_01/single/?bidPbancNo=R26BK01425609&amp;bidPbancOrd=001" TargetMode="External"/><Relationship Id="rId98" Type="http://schemas.openxmlformats.org/officeDocument/2006/relationships/hyperlink" Target="https://www.g2b.go.kr/link/PNPE027_01/single/?bidPbancNo=R26BK01443680&amp;bidPbancOrd=000" TargetMode="External"/><Relationship Id="rId121" Type="http://schemas.openxmlformats.org/officeDocument/2006/relationships/hyperlink" Target="https://www.g2b.go.kr/link/PNPE027_01/single/?bidPbancNo=R26BK01568829&amp;bidPbancOrd=000" TargetMode="External"/><Relationship Id="rId3" Type="http://schemas.openxmlformats.org/officeDocument/2006/relationships/hyperlink" Target="https://www.g2b.go.kr/link/PNPE027_01/single/?bidPbancNo=R26BK01643105&amp;bidPbancOrd=000" TargetMode="External"/><Relationship Id="rId25" Type="http://schemas.openxmlformats.org/officeDocument/2006/relationships/hyperlink" Target="https://www.g2b.go.kr/link/PNPE027_01/single/?bidPbancNo=R26BK01543373&amp;bidPbancOrd=000" TargetMode="External"/><Relationship Id="rId46" Type="http://schemas.openxmlformats.org/officeDocument/2006/relationships/hyperlink" Target="https://www.g2b.go.kr/link/PNPE027_01/single/?bidPbancNo=R26BK01456218&amp;bidPbancOrd=000" TargetMode="External"/><Relationship Id="rId67" Type="http://schemas.openxmlformats.org/officeDocument/2006/relationships/hyperlink" Target="https://www.g2b.go.kr/link/PNPE027_01/single/?bidPbancNo=R26BK01641086&amp;bidPbancOrd=000" TargetMode="External"/><Relationship Id="rId116" Type="http://schemas.openxmlformats.org/officeDocument/2006/relationships/hyperlink" Target="https://www.g2b.go.kr/link/PNPE027_01/single/?bidPbancNo=R26BK01531863&amp;bidPbancOrd=000" TargetMode="External"/><Relationship Id="rId20" Type="http://schemas.openxmlformats.org/officeDocument/2006/relationships/hyperlink" Target="https://www.g2b.go.kr/link/PNPE027_01/single/?bidPbancNo=R26BK01505719&amp;bidPbancOrd=000" TargetMode="External"/><Relationship Id="rId41" Type="http://schemas.openxmlformats.org/officeDocument/2006/relationships/hyperlink" Target="https://www.g2b.go.kr/link/PNPE027_01/single/?bidPbancNo=R26BK01359451&amp;bidPbancOrd=000" TargetMode="External"/><Relationship Id="rId62" Type="http://schemas.openxmlformats.org/officeDocument/2006/relationships/hyperlink" Target="https://www.g2b.go.kr/link/PNPE027_01/single/?bidPbancNo=R26BK01619853&amp;bidPbancOrd=000" TargetMode="External"/><Relationship Id="rId83" Type="http://schemas.openxmlformats.org/officeDocument/2006/relationships/hyperlink" Target="https://www.g2b.go.kr/link/PNPE027_01/single/?bidPbancNo=R26BK01381074&amp;bidPbancOrd=000" TargetMode="External"/><Relationship Id="rId88" Type="http://schemas.openxmlformats.org/officeDocument/2006/relationships/hyperlink" Target="https://www.g2b.go.kr/link/PNPE027_01/single/?bidPbancNo=R26BK01416636&amp;bidPbancOrd=000" TargetMode="External"/><Relationship Id="rId111" Type="http://schemas.openxmlformats.org/officeDocument/2006/relationships/hyperlink" Target="https://www.g2b.go.kr/link/PNPE027_01/single/?bidPbancNo=R26BK01515770&amp;bidPbancOrd=000" TargetMode="External"/><Relationship Id="rId132" Type="http://schemas.openxmlformats.org/officeDocument/2006/relationships/table" Target="../tables/table2.xml"/><Relationship Id="rId15" Type="http://schemas.openxmlformats.org/officeDocument/2006/relationships/hyperlink" Target="https://www.g2b.go.kr/link/PNPE027_01/single/?bidPbancNo=R26BK01459651&amp;bidPbancOrd=000" TargetMode="External"/><Relationship Id="rId36" Type="http://schemas.openxmlformats.org/officeDocument/2006/relationships/hyperlink" Target="https://www.g2b.go.kr/link/PNPE027_01/single/?bidPbancNo=R26BK01625638&amp;bidPbancOrd=000" TargetMode="External"/><Relationship Id="rId57" Type="http://schemas.openxmlformats.org/officeDocument/2006/relationships/hyperlink" Target="https://www.g2b.go.kr/link/PNPE027_01/single/?bidPbancNo=R26BK01536757&amp;bidPbancOrd=000" TargetMode="External"/><Relationship Id="rId106" Type="http://schemas.openxmlformats.org/officeDocument/2006/relationships/hyperlink" Target="https://www.g2b.go.kr/link/PNPE027_01/single/?bidPbancNo=R26BK01489660&amp;bidPbancOrd=000" TargetMode="External"/><Relationship Id="rId127" Type="http://schemas.openxmlformats.org/officeDocument/2006/relationships/hyperlink" Target="https://www.g2b.go.kr/link/PNPE027_01/single/?bidPbancNo=R26BK01604572&amp;bidPbancOrd=000" TargetMode="External"/><Relationship Id="rId10" Type="http://schemas.openxmlformats.org/officeDocument/2006/relationships/hyperlink" Target="https://www.g2b.go.kr/link/PNPE027_01/single/?bidPbancNo=R26BK01369229&amp;bidPbancOrd=000" TargetMode="External"/><Relationship Id="rId31" Type="http://schemas.openxmlformats.org/officeDocument/2006/relationships/hyperlink" Target="https://www.g2b.go.kr/link/PNPE027_01/single/?bidPbancNo=R26BK01566891&amp;bidPbancOrd=000" TargetMode="External"/><Relationship Id="rId52" Type="http://schemas.openxmlformats.org/officeDocument/2006/relationships/hyperlink" Target="https://www.g2b.go.kr/link/PNPE027_01/single/?bidPbancNo=R26BK01492240&amp;bidPbancOrd=000" TargetMode="External"/><Relationship Id="rId73" Type="http://schemas.openxmlformats.org/officeDocument/2006/relationships/hyperlink" Target="https://www.g2b.go.kr/link/PNPE027_01/single/?bidPbancNo=R26BK01306056&amp;bidPbancOrd=000" TargetMode="External"/><Relationship Id="rId78" Type="http://schemas.openxmlformats.org/officeDocument/2006/relationships/hyperlink" Target="https://www.g2b.go.kr/link/PNPE027_01/single/?bidPbancNo=R26BK01345249&amp;bidPbancOrd=000" TargetMode="External"/><Relationship Id="rId94" Type="http://schemas.openxmlformats.org/officeDocument/2006/relationships/hyperlink" Target="https://www.g2b.go.kr/link/PNPE027_01/single/?bidPbancNo=R26BK01425740&amp;bidPbancOrd=001" TargetMode="External"/><Relationship Id="rId99" Type="http://schemas.openxmlformats.org/officeDocument/2006/relationships/hyperlink" Target="https://www.g2b.go.kr/link/PNPE027_01/single/?bidPbancNo=R26BK01454043&amp;bidPbancOrd=000" TargetMode="External"/><Relationship Id="rId101" Type="http://schemas.openxmlformats.org/officeDocument/2006/relationships/hyperlink" Target="https://www.g2b.go.kr/link/PNPE027_01/single/?bidPbancNo=R26BK01451207&amp;bidPbancOrd=001" TargetMode="External"/><Relationship Id="rId122" Type="http://schemas.openxmlformats.org/officeDocument/2006/relationships/hyperlink" Target="https://www.g2b.go.kr/link/PNPE027_01/single/?bidPbancNo=R26BK01575705&amp;bidPbancOrd=000" TargetMode="External"/><Relationship Id="rId4" Type="http://schemas.openxmlformats.org/officeDocument/2006/relationships/hyperlink" Target="https://www.g2b.go.kr/link/PNPE027_01/single/?bidPbancNo=R26BK01258115&amp;bidPbancOrd=000" TargetMode="External"/><Relationship Id="rId9" Type="http://schemas.openxmlformats.org/officeDocument/2006/relationships/hyperlink" Target="https://www.g2b.go.kr/link/PNPE027_01/single/?bidPbancNo=R26BK01311987&amp;bidPbancOrd=000" TargetMode="External"/><Relationship Id="rId26" Type="http://schemas.openxmlformats.org/officeDocument/2006/relationships/hyperlink" Target="https://www.g2b.go.kr/link/PNPE027_01/single/?bidPbancNo=R26BK01539526&amp;bidPbancOrd=001" TargetMode="External"/><Relationship Id="rId47" Type="http://schemas.openxmlformats.org/officeDocument/2006/relationships/hyperlink" Target="https://www.g2b.go.kr/link/PNPE027_01/single/?bidPbancNo=R26BK01459167&amp;bidPbancOrd=000" TargetMode="External"/><Relationship Id="rId68" Type="http://schemas.openxmlformats.org/officeDocument/2006/relationships/hyperlink" Target="https://www.g2b.go.kr/link/PNPE027_01/single/?bidPbancNo=R26BK01309430&amp;bidPbancOrd=000" TargetMode="External"/><Relationship Id="rId89" Type="http://schemas.openxmlformats.org/officeDocument/2006/relationships/hyperlink" Target="https://www.g2b.go.kr/link/PNPE027_01/single/?bidPbancNo=R26BK01417516&amp;bidPbancOrd=000" TargetMode="External"/><Relationship Id="rId112" Type="http://schemas.openxmlformats.org/officeDocument/2006/relationships/hyperlink" Target="https://www.g2b.go.kr/link/PNPE027_01/single/?bidPbancNo=R26BK01518586&amp;bidPbancOrd=000" TargetMode="External"/><Relationship Id="rId133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2b.go.kr/link/PNPE027_01/single/?bidPbancNo=R25BK00739620&amp;bidPbancOrd=000" TargetMode="External"/><Relationship Id="rId21" Type="http://schemas.openxmlformats.org/officeDocument/2006/relationships/hyperlink" Target="https://www.g2b.go.kr/link/PNPE027_01/single/?bidPbancNo=R25BK00812059&amp;bidPbancOrd=000" TargetMode="External"/><Relationship Id="rId42" Type="http://schemas.openxmlformats.org/officeDocument/2006/relationships/hyperlink" Target="https://www.g2b.go.kr/link/PNPE027_01/single/?bidPbancNo=R25BK01089109&amp;bidPbancOrd=000" TargetMode="External"/><Relationship Id="rId63" Type="http://schemas.openxmlformats.org/officeDocument/2006/relationships/hyperlink" Target="https://www.g2b.go.kr/link/PNPE027_01/single/?bidPbancNo=R25BK01211990&amp;bidPbancOrd=000" TargetMode="External"/><Relationship Id="rId84" Type="http://schemas.openxmlformats.org/officeDocument/2006/relationships/hyperlink" Target="https://www.g2b.go.kr/link/PNPE027_01/single/?bidPbancNo=R25BK00895061&amp;bidPbancOrd=000" TargetMode="External"/><Relationship Id="rId138" Type="http://schemas.openxmlformats.org/officeDocument/2006/relationships/hyperlink" Target="https://www.g2b.go.kr/link/PNPE027_01/single/?bidPbancNo=R25BK00814969&amp;bidPbancOrd=000" TargetMode="External"/><Relationship Id="rId159" Type="http://schemas.openxmlformats.org/officeDocument/2006/relationships/hyperlink" Target="https://www.g2b.go.kr/link/PNPE027_01/single/?bidPbancNo=R25BK00973618&amp;bidPbancOrd=000" TargetMode="External"/><Relationship Id="rId170" Type="http://schemas.openxmlformats.org/officeDocument/2006/relationships/hyperlink" Target="https://www.g2b.go.kr/link/PNPE027_01/single/?bidPbancNo=R25BK01071644&amp;bidPbancOrd=000" TargetMode="External"/><Relationship Id="rId107" Type="http://schemas.openxmlformats.org/officeDocument/2006/relationships/hyperlink" Target="https://www.g2b.go.kr/link/PNPE027_01/single/?bidPbancNo=R25BK00612412&amp;bidPbancOrd=000" TargetMode="External"/><Relationship Id="rId11" Type="http://schemas.openxmlformats.org/officeDocument/2006/relationships/hyperlink" Target="https://www.g2b.go.kr/link/PNPE027_01/single/?bidPbancNo=R25BK00744612&amp;bidPbancOrd=000" TargetMode="External"/><Relationship Id="rId32" Type="http://schemas.openxmlformats.org/officeDocument/2006/relationships/hyperlink" Target="https://www.g2b.go.kr/link/PNPE027_01/single/?bidPbancNo=R25BK00916248&amp;bidPbancOrd=000" TargetMode="External"/><Relationship Id="rId53" Type="http://schemas.openxmlformats.org/officeDocument/2006/relationships/hyperlink" Target="https://www.g2b.go.kr/link/PNPE027_01/single/?bidPbancNo=R25BK01153836&amp;bidPbancOrd=000" TargetMode="External"/><Relationship Id="rId74" Type="http://schemas.openxmlformats.org/officeDocument/2006/relationships/hyperlink" Target="https://www.g2b.go.kr/link/PNPE027_01/single/?bidPbancNo=R25BK00803501&amp;bidPbancOrd=000" TargetMode="External"/><Relationship Id="rId128" Type="http://schemas.openxmlformats.org/officeDocument/2006/relationships/hyperlink" Target="https://www.g2b.go.kr/link/PNPE027_01/single/?bidPbancNo=R25BK00769814&amp;bidPbancOrd=000" TargetMode="External"/><Relationship Id="rId149" Type="http://schemas.openxmlformats.org/officeDocument/2006/relationships/hyperlink" Target="https://www.g2b.go.kr/link/PNPE027_01/single/?bidPbancNo=R25BK00886372&amp;bidPbancOrd=000" TargetMode="External"/><Relationship Id="rId5" Type="http://schemas.openxmlformats.org/officeDocument/2006/relationships/hyperlink" Target="https://www.g2b.go.kr/link/PNPE027_01/single/?bidPbancNo=R25BK00607025&amp;bidPbancOrd=000" TargetMode="External"/><Relationship Id="rId95" Type="http://schemas.openxmlformats.org/officeDocument/2006/relationships/hyperlink" Target="https://www.g2b.go.kr/link/PNPE027_01/single/?bidPbancNo=R25BK01189331&amp;bidPbancOrd=000" TargetMode="External"/><Relationship Id="rId160" Type="http://schemas.openxmlformats.org/officeDocument/2006/relationships/hyperlink" Target="https://www.g2b.go.kr/link/PNPE027_01/single/?bidPbancNo=R25BK00987733&amp;bidPbancOrd=000" TargetMode="External"/><Relationship Id="rId22" Type="http://schemas.openxmlformats.org/officeDocument/2006/relationships/hyperlink" Target="https://www.g2b.go.kr/link/PNPE027_01/single/?bidPbancNo=R25BK00815199&amp;bidPbancOrd=000" TargetMode="External"/><Relationship Id="rId43" Type="http://schemas.openxmlformats.org/officeDocument/2006/relationships/hyperlink" Target="https://www.g2b.go.kr/link/PNPE027_01/single/?bidPbancNo=R25BK01090959&amp;bidPbancOrd=000" TargetMode="External"/><Relationship Id="rId64" Type="http://schemas.openxmlformats.org/officeDocument/2006/relationships/hyperlink" Target="https://www.g2b.go.kr/link/PNPE027_01/single/?bidPbancNo=R25BK01236649&amp;bidPbancOrd=000" TargetMode="External"/><Relationship Id="rId118" Type="http://schemas.openxmlformats.org/officeDocument/2006/relationships/hyperlink" Target="https://www.g2b.go.kr/link/PNPE027_01/single/?bidPbancNo=R25BK00739693&amp;bidPbancOrd=000" TargetMode="External"/><Relationship Id="rId139" Type="http://schemas.openxmlformats.org/officeDocument/2006/relationships/hyperlink" Target="https://www.g2b.go.kr/link/PNPE027_01/single/?bidPbancNo=R25BK00815150&amp;bidPbancOrd=000" TargetMode="External"/><Relationship Id="rId85" Type="http://schemas.openxmlformats.org/officeDocument/2006/relationships/hyperlink" Target="https://www.g2b.go.kr/link/PNPE027_01/single/?bidPbancNo=R25BK00944496&amp;bidPbancOrd=000" TargetMode="External"/><Relationship Id="rId150" Type="http://schemas.openxmlformats.org/officeDocument/2006/relationships/hyperlink" Target="https://www.g2b.go.kr/link/PNPE027_01/single/?bidPbancNo=R25BK00890729&amp;bidPbancOrd=000" TargetMode="External"/><Relationship Id="rId171" Type="http://schemas.openxmlformats.org/officeDocument/2006/relationships/hyperlink" Target="https://www.g2b.go.kr/link/PNPE027_01/single/?bidPbancNo=R25BK01089526&amp;bidPbancOrd=000" TargetMode="External"/><Relationship Id="rId12" Type="http://schemas.openxmlformats.org/officeDocument/2006/relationships/hyperlink" Target="https://www.g2b.go.kr/link/PNPE027_01/single/?bidPbancNo=R25BK00749199&amp;bidPbancOrd=000" TargetMode="External"/><Relationship Id="rId33" Type="http://schemas.openxmlformats.org/officeDocument/2006/relationships/hyperlink" Target="https://www.g2b.go.kr/link/PNPE027_01/single/?bidPbancNo=R25BK00915422&amp;bidPbancOrd=000" TargetMode="External"/><Relationship Id="rId108" Type="http://schemas.openxmlformats.org/officeDocument/2006/relationships/hyperlink" Target="https://www.g2b.go.kr/link/PNPE027_01/single/?bidPbancNo=R25BK00631110&amp;bidPbancOrd=000" TargetMode="External"/><Relationship Id="rId129" Type="http://schemas.openxmlformats.org/officeDocument/2006/relationships/hyperlink" Target="https://www.g2b.go.kr/link/PNPE027_01/single/?bidPbancNo=R25BK00781454&amp;bidPbancOrd=000" TargetMode="External"/><Relationship Id="rId54" Type="http://schemas.openxmlformats.org/officeDocument/2006/relationships/hyperlink" Target="https://www.g2b.go.kr/link/PNPE027_01/single/?bidPbancNo=R25BK01153848&amp;bidPbancOrd=000" TargetMode="External"/><Relationship Id="rId75" Type="http://schemas.openxmlformats.org/officeDocument/2006/relationships/hyperlink" Target="https://www.g2b.go.kr/link/PNPE027_01/single/?bidPbancNo=R25BK00822474&amp;bidPbancOrd=000" TargetMode="External"/><Relationship Id="rId96" Type="http://schemas.openxmlformats.org/officeDocument/2006/relationships/hyperlink" Target="https://www.g2b.go.kr/link/PNPE027_01/single/?bidPbancNo=R25BK01209440&amp;bidPbancOrd=000" TargetMode="External"/><Relationship Id="rId140" Type="http://schemas.openxmlformats.org/officeDocument/2006/relationships/hyperlink" Target="https://www.g2b.go.kr/link/PNPE027_01/single/?bidPbancNo=R25BK00817312&amp;bidPbancOrd=000" TargetMode="External"/><Relationship Id="rId161" Type="http://schemas.openxmlformats.org/officeDocument/2006/relationships/hyperlink" Target="https://www.g2b.go.kr/link/PNPE027_01/single/?bidPbancNo=R25BK00989554&amp;bidPbancOrd=000" TargetMode="External"/><Relationship Id="rId6" Type="http://schemas.openxmlformats.org/officeDocument/2006/relationships/hyperlink" Target="https://www.g2b.go.kr/link/PNPE027_01/single/?bidPbancNo=R25BK00619212&amp;bidPbancOrd=000" TargetMode="External"/><Relationship Id="rId23" Type="http://schemas.openxmlformats.org/officeDocument/2006/relationships/hyperlink" Target="https://www.g2b.go.kr/link/PNPE027_01/single/?bidPbancNo=R25BK00815266&amp;bidPbancOrd=000" TargetMode="External"/><Relationship Id="rId28" Type="http://schemas.openxmlformats.org/officeDocument/2006/relationships/hyperlink" Target="https://www.g2b.go.kr/link/PNPE027_01/single/?bidPbancNo=R25BK00804545&amp;bidPbancOrd=001" TargetMode="External"/><Relationship Id="rId49" Type="http://schemas.openxmlformats.org/officeDocument/2006/relationships/hyperlink" Target="https://www.g2b.go.kr/link/PNPE027_01/single/?bidPbancNo=R25BK01113690&amp;bidPbancOrd=001" TargetMode="External"/><Relationship Id="rId114" Type="http://schemas.openxmlformats.org/officeDocument/2006/relationships/hyperlink" Target="https://www.g2b.go.kr/link/PNPE027_01/single/?bidPbancNo=R25BK00700441&amp;bidPbancOrd=000" TargetMode="External"/><Relationship Id="rId119" Type="http://schemas.openxmlformats.org/officeDocument/2006/relationships/hyperlink" Target="https://www.g2b.go.kr/link/PNPE027_01/single/?bidPbancNo=R25BK00746601&amp;bidPbancOrd=000" TargetMode="External"/><Relationship Id="rId44" Type="http://schemas.openxmlformats.org/officeDocument/2006/relationships/hyperlink" Target="https://www.g2b.go.kr/link/PNPE027_01/single/?bidPbancNo=R25BK01092262&amp;bidPbancOrd=000" TargetMode="External"/><Relationship Id="rId60" Type="http://schemas.openxmlformats.org/officeDocument/2006/relationships/hyperlink" Target="https://www.g2b.go.kr/link/PNPE027_01/single/?bidPbancNo=R25BK01183069&amp;bidPbancOrd=000" TargetMode="External"/><Relationship Id="rId65" Type="http://schemas.openxmlformats.org/officeDocument/2006/relationships/hyperlink" Target="https://www.g2b.go.kr/link/PNPE027_01/single/?bidPbancNo=R25BK01250209&amp;bidPbancOrd=000" TargetMode="External"/><Relationship Id="rId81" Type="http://schemas.openxmlformats.org/officeDocument/2006/relationships/hyperlink" Target="https://www.g2b.go.kr/link/PNPE027_01/single/?bidPbancNo=R25BK00887640&amp;bidPbancOrd=000" TargetMode="External"/><Relationship Id="rId86" Type="http://schemas.openxmlformats.org/officeDocument/2006/relationships/hyperlink" Target="https://www.g2b.go.kr/link/PNPE027_01/single/?bidPbancNo=R25BK00982960&amp;bidPbancOrd=000" TargetMode="External"/><Relationship Id="rId130" Type="http://schemas.openxmlformats.org/officeDocument/2006/relationships/hyperlink" Target="https://www.g2b.go.kr/link/PNPE027_01/single/?bidPbancNo=R25BK00784470&amp;bidPbancOrd=000" TargetMode="External"/><Relationship Id="rId135" Type="http://schemas.openxmlformats.org/officeDocument/2006/relationships/hyperlink" Target="https://www.g2b.go.kr/link/PNPE027_01/single/?bidPbancNo=R25BK00788708&amp;bidPbancOrd=001" TargetMode="External"/><Relationship Id="rId151" Type="http://schemas.openxmlformats.org/officeDocument/2006/relationships/hyperlink" Target="https://www.g2b.go.kr/link/PNPE027_01/single/?bidPbancNo=R25BK00908142&amp;bidPbancOrd=000" TargetMode="External"/><Relationship Id="rId156" Type="http://schemas.openxmlformats.org/officeDocument/2006/relationships/hyperlink" Target="https://www.g2b.go.kr/link/PNPE027_01/single/?bidPbancNo=R25BK00954281&amp;bidPbancOrd=000" TargetMode="External"/><Relationship Id="rId177" Type="http://schemas.openxmlformats.org/officeDocument/2006/relationships/table" Target="../tables/table5.xml"/><Relationship Id="rId172" Type="http://schemas.openxmlformats.org/officeDocument/2006/relationships/hyperlink" Target="https://www.g2b.go.kr/link/PNPE027_01/single/?bidPbancNo=R25BK01105005&amp;bidPbancOrd=000" TargetMode="External"/><Relationship Id="rId13" Type="http://schemas.openxmlformats.org/officeDocument/2006/relationships/hyperlink" Target="https://www.g2b.go.kr/link/PNPE027_01/single/?bidPbancNo=R25BK00749827&amp;bidPbancOrd=000" TargetMode="External"/><Relationship Id="rId18" Type="http://schemas.openxmlformats.org/officeDocument/2006/relationships/hyperlink" Target="https://www.g2b.go.kr/link/PNPE027_01/single/?bidPbancNo=R25BK00786937&amp;bidPbancOrd=000" TargetMode="External"/><Relationship Id="rId39" Type="http://schemas.openxmlformats.org/officeDocument/2006/relationships/hyperlink" Target="https://www.g2b.go.kr/link/PNPE027_01/single/?bidPbancNo=R25BK00979913&amp;bidPbancOrd=000" TargetMode="External"/><Relationship Id="rId109" Type="http://schemas.openxmlformats.org/officeDocument/2006/relationships/hyperlink" Target="https://www.g2b.go.kr/link/PNPE027_01/single/?bidPbancNo=R25BK00644874&amp;bidPbancOrd=000" TargetMode="External"/><Relationship Id="rId34" Type="http://schemas.openxmlformats.org/officeDocument/2006/relationships/hyperlink" Target="https://www.g2b.go.kr/link/PNPE027_01/single/?bidPbancNo=R25BK00954418&amp;bidPbancOrd=000" TargetMode="External"/><Relationship Id="rId50" Type="http://schemas.openxmlformats.org/officeDocument/2006/relationships/hyperlink" Target="https://www.g2b.go.kr/link/PNPE027_01/single/?bidPbancNo=R25BK01124815&amp;bidPbancOrd=000" TargetMode="External"/><Relationship Id="rId55" Type="http://schemas.openxmlformats.org/officeDocument/2006/relationships/hyperlink" Target="https://www.g2b.go.kr/link/PNPE027_01/single/?bidPbancNo=R25BK01157585&amp;bidPbancOrd=000" TargetMode="External"/><Relationship Id="rId76" Type="http://schemas.openxmlformats.org/officeDocument/2006/relationships/hyperlink" Target="https://www.g2b.go.kr/link/PNPE027_01/single/?bidPbancNo=R25BK00827161&amp;bidPbancOrd=000" TargetMode="External"/><Relationship Id="rId97" Type="http://schemas.openxmlformats.org/officeDocument/2006/relationships/hyperlink" Target="https://www.g2b.go.kr/link/PNPE027_01/single/?bidPbancNo=R25BK01211565&amp;bidPbancOrd=000" TargetMode="External"/><Relationship Id="rId104" Type="http://schemas.openxmlformats.org/officeDocument/2006/relationships/hyperlink" Target="https://www.g2b.go.kr/link/PNPE027_01/single/?bidPbancNo=R25BK00590997&amp;bidPbancOrd=000" TargetMode="External"/><Relationship Id="rId120" Type="http://schemas.openxmlformats.org/officeDocument/2006/relationships/hyperlink" Target="https://www.g2b.go.kr/link/PNPE027_01/single/?bidPbancNo=R25BK00748631&amp;bidPbancOrd=000" TargetMode="External"/><Relationship Id="rId125" Type="http://schemas.openxmlformats.org/officeDocument/2006/relationships/hyperlink" Target="https://www.g2b.go.kr/link/PNPE027_01/single/?bidPbancNo=R25BK00751811&amp;bidPbancOrd=002" TargetMode="External"/><Relationship Id="rId141" Type="http://schemas.openxmlformats.org/officeDocument/2006/relationships/hyperlink" Target="https://www.g2b.go.kr/link/PNPE027_01/single/?bidPbancNo=R25BK00823931&amp;bidPbancOrd=000" TargetMode="External"/><Relationship Id="rId146" Type="http://schemas.openxmlformats.org/officeDocument/2006/relationships/hyperlink" Target="https://www.g2b.go.kr/link/PNPE027_01/single/?bidPbancNo=R25BK00867713&amp;bidPbancOrd=000" TargetMode="External"/><Relationship Id="rId167" Type="http://schemas.openxmlformats.org/officeDocument/2006/relationships/hyperlink" Target="https://www.g2b.go.kr/link/PNPE027_01/single/?bidPbancNo=R25BK01031914&amp;bidPbancOrd=000" TargetMode="External"/><Relationship Id="rId7" Type="http://schemas.openxmlformats.org/officeDocument/2006/relationships/hyperlink" Target="https://www.g2b.go.kr/link/PNPE027_01/single/?bidPbancNo=R25BK00628001&amp;bidPbancOrd=000" TargetMode="External"/><Relationship Id="rId71" Type="http://schemas.openxmlformats.org/officeDocument/2006/relationships/hyperlink" Target="https://www.g2b.go.kr/link/PNPE027_01/single/?bidPbancNo=R25BK00725119&amp;bidPbancOrd=000" TargetMode="External"/><Relationship Id="rId92" Type="http://schemas.openxmlformats.org/officeDocument/2006/relationships/hyperlink" Target="https://www.g2b.go.kr/link/PNPE027_01/single/?bidPbancNo=R25BK01101075&amp;bidPbancOrd=000" TargetMode="External"/><Relationship Id="rId162" Type="http://schemas.openxmlformats.org/officeDocument/2006/relationships/hyperlink" Target="https://www.g2b.go.kr/link/PNPE027_01/single/?bidPbancNo=R25BK00991642&amp;bidPbancOrd=000" TargetMode="External"/><Relationship Id="rId2" Type="http://schemas.openxmlformats.org/officeDocument/2006/relationships/hyperlink" Target="https://www.g2b.go.kr/link/PNPE027_01/single/?bidPbancNo=R25BK00590291&amp;bidPbancOrd=000" TargetMode="External"/><Relationship Id="rId29" Type="http://schemas.openxmlformats.org/officeDocument/2006/relationships/hyperlink" Target="https://www.g2b.go.kr/link/PNPE027_01/single/?bidPbancNo=R25BK00861880&amp;bidPbancOrd=000" TargetMode="External"/><Relationship Id="rId24" Type="http://schemas.openxmlformats.org/officeDocument/2006/relationships/hyperlink" Target="https://www.g2b.go.kr/link/PNPE027_01/single/?bidPbancNo=R25BK00819545&amp;bidPbancOrd=000" TargetMode="External"/><Relationship Id="rId40" Type="http://schemas.openxmlformats.org/officeDocument/2006/relationships/hyperlink" Target="https://www.g2b.go.kr/link/PNPE027_01/single/?bidPbancNo=R25BK01034286&amp;bidPbancOrd=000" TargetMode="External"/><Relationship Id="rId45" Type="http://schemas.openxmlformats.org/officeDocument/2006/relationships/hyperlink" Target="https://www.g2b.go.kr/link/PNPE027_01/single/?bidPbancNo=R25BK01098698&amp;bidPbancOrd=000" TargetMode="External"/><Relationship Id="rId66" Type="http://schemas.openxmlformats.org/officeDocument/2006/relationships/hyperlink" Target="https://www.g2b.go.kr/link/PNPE027_01/single/?bidPbancNo=R25BK00593760&amp;bidPbancOrd=000" TargetMode="External"/><Relationship Id="rId87" Type="http://schemas.openxmlformats.org/officeDocument/2006/relationships/hyperlink" Target="https://www.g2b.go.kr/link/PNPE027_01/single/?bidPbancNo=R25BK00994601&amp;bidPbancOrd=000" TargetMode="External"/><Relationship Id="rId110" Type="http://schemas.openxmlformats.org/officeDocument/2006/relationships/hyperlink" Target="https://www.g2b.go.kr/link/PNPE027_01/single/?bidPbancNo=R25BK00656813&amp;bidPbancOrd=000" TargetMode="External"/><Relationship Id="rId115" Type="http://schemas.openxmlformats.org/officeDocument/2006/relationships/hyperlink" Target="https://www.g2b.go.kr/link/PNPE027_01/single/?bidPbancNo=R25BK00717494&amp;bidPbancOrd=000" TargetMode="External"/><Relationship Id="rId131" Type="http://schemas.openxmlformats.org/officeDocument/2006/relationships/hyperlink" Target="https://www.g2b.go.kr/link/PNPE027_01/single/?bidPbancNo=R25BK00786206&amp;bidPbancOrd=000" TargetMode="External"/><Relationship Id="rId136" Type="http://schemas.openxmlformats.org/officeDocument/2006/relationships/hyperlink" Target="https://www.g2b.go.kr/link/PNPE027_01/single/?bidPbancNo=R25BK00800338&amp;bidPbancOrd=001" TargetMode="External"/><Relationship Id="rId157" Type="http://schemas.openxmlformats.org/officeDocument/2006/relationships/hyperlink" Target="https://www.g2b.go.kr/link/PNPE027_01/single/?bidPbancNo=R25BK00956898&amp;bidPbancOrd=000" TargetMode="External"/><Relationship Id="rId178" Type="http://schemas.openxmlformats.org/officeDocument/2006/relationships/table" Target="../tables/table6.xml"/><Relationship Id="rId61" Type="http://schemas.openxmlformats.org/officeDocument/2006/relationships/hyperlink" Target="https://www.g2b.go.kr/link/PNPE027_01/single/?bidPbancNo=R25BK01199448&amp;bidPbancOrd=000" TargetMode="External"/><Relationship Id="rId82" Type="http://schemas.openxmlformats.org/officeDocument/2006/relationships/hyperlink" Target="https://www.g2b.go.kr/link/PNPE027_01/single/?bidPbancNo=R25BK00889265&amp;bidPbancOrd=000" TargetMode="External"/><Relationship Id="rId152" Type="http://schemas.openxmlformats.org/officeDocument/2006/relationships/hyperlink" Target="https://www.g2b.go.kr/link/PNPE027_01/single/?bidPbancNo=R25BK00916868&amp;bidPbancOrd=000" TargetMode="External"/><Relationship Id="rId173" Type="http://schemas.openxmlformats.org/officeDocument/2006/relationships/hyperlink" Target="https://www.g2b.go.kr/link/PNPE027_01/single/?bidPbancNo=R25BK01107478&amp;bidPbancOrd=000" TargetMode="External"/><Relationship Id="rId19" Type="http://schemas.openxmlformats.org/officeDocument/2006/relationships/hyperlink" Target="https://www.g2b.go.kr/link/PNPE027_01/single/?bidPbancNo=R25BK00800992&amp;bidPbancOrd=000" TargetMode="External"/><Relationship Id="rId14" Type="http://schemas.openxmlformats.org/officeDocument/2006/relationships/hyperlink" Target="https://www.g2b.go.kr/link/PNPE027_01/single/?bidPbancNo=R25BK00755594&amp;bidPbancOrd=000" TargetMode="External"/><Relationship Id="rId30" Type="http://schemas.openxmlformats.org/officeDocument/2006/relationships/hyperlink" Target="https://www.g2b.go.kr/link/PNPE027_01/single/?bidPbancNo=R25BK00865964&amp;bidPbancOrd=000" TargetMode="External"/><Relationship Id="rId35" Type="http://schemas.openxmlformats.org/officeDocument/2006/relationships/hyperlink" Target="https://www.g2b.go.kr/link/PNPE027_01/single/?bidPbancNo=R25BK00955963&amp;bidPbancOrd=000" TargetMode="External"/><Relationship Id="rId56" Type="http://schemas.openxmlformats.org/officeDocument/2006/relationships/hyperlink" Target="https://www.g2b.go.kr/link/PNPE027_01/single/?bidPbancNo=R25BK01171303&amp;bidPbancOrd=000" TargetMode="External"/><Relationship Id="rId77" Type="http://schemas.openxmlformats.org/officeDocument/2006/relationships/hyperlink" Target="https://www.g2b.go.kr/link/PNPE027_01/single/?bidPbancNo=R25BK00849992&amp;bidPbancOrd=000" TargetMode="External"/><Relationship Id="rId100" Type="http://schemas.openxmlformats.org/officeDocument/2006/relationships/hyperlink" Target="https://www.g2b.go.kr/link/PNPE027_01/single/?bidPbancNo=R25BK00569640&amp;bidPbancOrd=001" TargetMode="External"/><Relationship Id="rId105" Type="http://schemas.openxmlformats.org/officeDocument/2006/relationships/hyperlink" Target="https://www.g2b.go.kr/link/PNPE027_01/single/?bidPbancNo=R25BK00597544&amp;bidPbancOrd=001" TargetMode="External"/><Relationship Id="rId126" Type="http://schemas.openxmlformats.org/officeDocument/2006/relationships/hyperlink" Target="https://www.g2b.go.kr/link/PNPE027_01/single/?bidPbancNo=R25BK00765098&amp;bidPbancOrd=000" TargetMode="External"/><Relationship Id="rId147" Type="http://schemas.openxmlformats.org/officeDocument/2006/relationships/hyperlink" Target="https://www.g2b.go.kr/link/PNPE027_01/single/?bidPbancNo=R25BK00869486&amp;bidPbancOrd=000" TargetMode="External"/><Relationship Id="rId168" Type="http://schemas.openxmlformats.org/officeDocument/2006/relationships/hyperlink" Target="https://www.g2b.go.kr/link/PNPE027_01/single/?bidPbancNo=R25BK01036029&amp;bidPbancOrd=000" TargetMode="External"/><Relationship Id="rId8" Type="http://schemas.openxmlformats.org/officeDocument/2006/relationships/hyperlink" Target="https://www.g2b.go.kr/link/PNPE027_01/single/?bidPbancNo=R25BK00658751&amp;bidPbancOrd=000" TargetMode="External"/><Relationship Id="rId51" Type="http://schemas.openxmlformats.org/officeDocument/2006/relationships/hyperlink" Target="https://www.g2b.go.kr/link/PNPE027_01/single/?bidPbancNo=R25BK01134407&amp;bidPbancOrd=000" TargetMode="External"/><Relationship Id="rId72" Type="http://schemas.openxmlformats.org/officeDocument/2006/relationships/hyperlink" Target="https://www.g2b.go.kr/link/PNPE027_01/single/?bidPbancNo=R25BK00739447&amp;bidPbancOrd=000" TargetMode="External"/><Relationship Id="rId93" Type="http://schemas.openxmlformats.org/officeDocument/2006/relationships/hyperlink" Target="https://www.g2b.go.kr/link/PNPE027_01/single/?bidPbancNo=R25BK01130968&amp;bidPbancOrd=000" TargetMode="External"/><Relationship Id="rId98" Type="http://schemas.openxmlformats.org/officeDocument/2006/relationships/hyperlink" Target="https://www.g2b.go.kr/link/PNPE027_01/single/?bidPbancNo=R25BK01238235&amp;bidPbancOrd=000" TargetMode="External"/><Relationship Id="rId121" Type="http://schemas.openxmlformats.org/officeDocument/2006/relationships/hyperlink" Target="https://www.g2b.go.kr/link/PNPE027_01/single/?bidPbancNo=R25BK00736083&amp;bidPbancOrd=003" TargetMode="External"/><Relationship Id="rId142" Type="http://schemas.openxmlformats.org/officeDocument/2006/relationships/hyperlink" Target="https://www.g2b.go.kr/link/PNPE027_01/single/?bidPbancNo=R25BK00848572&amp;bidPbancOrd=000" TargetMode="External"/><Relationship Id="rId163" Type="http://schemas.openxmlformats.org/officeDocument/2006/relationships/hyperlink" Target="https://www.g2b.go.kr/link/PNPE027_01/single/?bidPbancNo=R25BK00992064&amp;bidPbancOrd=000" TargetMode="External"/><Relationship Id="rId3" Type="http://schemas.openxmlformats.org/officeDocument/2006/relationships/hyperlink" Target="https://www.g2b.go.kr/link/PNPE027_01/single/?bidPbancNo=R25BK00598881&amp;bidPbancOrd=000" TargetMode="External"/><Relationship Id="rId25" Type="http://schemas.openxmlformats.org/officeDocument/2006/relationships/hyperlink" Target="https://www.g2b.go.kr/link/PNPE027_01/single/?bidPbancNo=R25BK00821464&amp;bidPbancOrd=001" TargetMode="External"/><Relationship Id="rId46" Type="http://schemas.openxmlformats.org/officeDocument/2006/relationships/hyperlink" Target="https://www.g2b.go.kr/link/PNPE027_01/single/?bidPbancNo=R25BK01098923&amp;bidPbancOrd=000" TargetMode="External"/><Relationship Id="rId67" Type="http://schemas.openxmlformats.org/officeDocument/2006/relationships/hyperlink" Target="https://www.g2b.go.kr/link/PNPE027_01/single/?bidPbancNo=R25BK00624964&amp;bidPbancOrd=000" TargetMode="External"/><Relationship Id="rId116" Type="http://schemas.openxmlformats.org/officeDocument/2006/relationships/hyperlink" Target="https://www.g2b.go.kr/link/PNPE027_01/single/?bidPbancNo=R25BK00726320&amp;bidPbancOrd=000" TargetMode="External"/><Relationship Id="rId137" Type="http://schemas.openxmlformats.org/officeDocument/2006/relationships/hyperlink" Target="https://www.g2b.go.kr/link/PNPE027_01/single/?bidPbancNo=R25BK00814194&amp;bidPbancOrd=000" TargetMode="External"/><Relationship Id="rId158" Type="http://schemas.openxmlformats.org/officeDocument/2006/relationships/hyperlink" Target="https://www.g2b.go.kr/link/PNPE027_01/single/?bidPbancNo=R25BK00971470&amp;bidPbancOrd=000" TargetMode="External"/><Relationship Id="rId20" Type="http://schemas.openxmlformats.org/officeDocument/2006/relationships/hyperlink" Target="https://www.g2b.go.kr/link/PNPE027_01/single/?bidPbancNo=R25BK00810679&amp;bidPbancOrd=000" TargetMode="External"/><Relationship Id="rId41" Type="http://schemas.openxmlformats.org/officeDocument/2006/relationships/hyperlink" Target="https://www.g2b.go.kr/link/PNPE027_01/single/?bidPbancNo=R25BK01034639&amp;bidPbancOrd=000" TargetMode="External"/><Relationship Id="rId62" Type="http://schemas.openxmlformats.org/officeDocument/2006/relationships/hyperlink" Target="https://www.g2b.go.kr/link/PNPE027_01/single/?bidPbancNo=R25BK01209634&amp;bidPbancOrd=000" TargetMode="External"/><Relationship Id="rId83" Type="http://schemas.openxmlformats.org/officeDocument/2006/relationships/hyperlink" Target="https://www.g2b.go.kr/link/PNPE027_01/single/?bidPbancNo=R25BK00888973&amp;bidPbancOrd=000" TargetMode="External"/><Relationship Id="rId88" Type="http://schemas.openxmlformats.org/officeDocument/2006/relationships/hyperlink" Target="https://www.g2b.go.kr/link/PNPE027_01/single/?bidPbancNo=R25BK01065777&amp;bidPbancOrd=000" TargetMode="External"/><Relationship Id="rId111" Type="http://schemas.openxmlformats.org/officeDocument/2006/relationships/hyperlink" Target="https://www.g2b.go.kr/link/PNPE027_01/single/?bidPbancNo=R25BK00677072&amp;bidPbancOrd=000&amp;prcmBsneSeCd=09&amp;pbancType=pbanc" TargetMode="External"/><Relationship Id="rId132" Type="http://schemas.openxmlformats.org/officeDocument/2006/relationships/hyperlink" Target="https://www.g2b.go.kr/link/PNPE027_01/single/?bidPbancNo=R25BK00786952&amp;bidPbancOrd=000" TargetMode="External"/><Relationship Id="rId153" Type="http://schemas.openxmlformats.org/officeDocument/2006/relationships/hyperlink" Target="https://www.g2b.go.kr/link/PNPE027_01/single/?bidPbancNo=R25BK00922842&amp;bidPbancOrd=000" TargetMode="External"/><Relationship Id="rId174" Type="http://schemas.openxmlformats.org/officeDocument/2006/relationships/hyperlink" Target="https://www.g2b.go.kr/link/PNPE027_01/single/?bidPbancNo=R25BK01207877&amp;bidPbancOrd=001" TargetMode="External"/><Relationship Id="rId15" Type="http://schemas.openxmlformats.org/officeDocument/2006/relationships/hyperlink" Target="https://www.g2b.go.kr/link/PNPE027_01/single/?bidPbancNo=R25BK00759579&amp;bidPbancOrd=000" TargetMode="External"/><Relationship Id="rId36" Type="http://schemas.openxmlformats.org/officeDocument/2006/relationships/hyperlink" Target="https://www.g2b.go.kr/link/PNPE027_01/single/?bidPbancNo=R25BK00955969&amp;bidPbancOrd=000" TargetMode="External"/><Relationship Id="rId57" Type="http://schemas.openxmlformats.org/officeDocument/2006/relationships/hyperlink" Target="https://www.g2b.go.kr/link/PNPE027_01/single/?bidPbancNo=R25BK01172807&amp;bidPbancOrd=000" TargetMode="External"/><Relationship Id="rId106" Type="http://schemas.openxmlformats.org/officeDocument/2006/relationships/hyperlink" Target="https://www.g2b.go.kr/link/PNPE027_01/single/?bidPbancNo=R25BK00594568&amp;bidPbancOrd=001" TargetMode="External"/><Relationship Id="rId127" Type="http://schemas.openxmlformats.org/officeDocument/2006/relationships/hyperlink" Target="https://www.g2b.go.kr/link/PNPE027_01/single/?bidPbancNo=R25BK00762128&amp;bidPbancOrd=001" TargetMode="External"/><Relationship Id="rId10" Type="http://schemas.openxmlformats.org/officeDocument/2006/relationships/hyperlink" Target="https://www.g2b.go.kr/link/PNPE027_01/single/?bidPbancNo=R25BK00737346&amp;bidPbancOrd=000" TargetMode="External"/><Relationship Id="rId31" Type="http://schemas.openxmlformats.org/officeDocument/2006/relationships/hyperlink" Target="https://www.g2b.go.kr/link/PNPE027_01/single/?bidPbancNo=R25BK00899112&amp;bidPbancOrd=000" TargetMode="External"/><Relationship Id="rId52" Type="http://schemas.openxmlformats.org/officeDocument/2006/relationships/hyperlink" Target="https://www.g2b.go.kr/link/PNPE027_01/single/?bidPbancNo=R25BK01153422&amp;bidPbancOrd=000" TargetMode="External"/><Relationship Id="rId73" Type="http://schemas.openxmlformats.org/officeDocument/2006/relationships/hyperlink" Target="https://www.g2b.go.kr/link/PNPE027_01/single/?bidPbancNo=R25BK00768681&amp;bidPbancOrd=000" TargetMode="External"/><Relationship Id="rId78" Type="http://schemas.openxmlformats.org/officeDocument/2006/relationships/hyperlink" Target="https://www.g2b.go.kr/link/PNPE027_01/single/?bidPbancNo=R25BK00875311&amp;bidPbancOrd=000" TargetMode="External"/><Relationship Id="rId94" Type="http://schemas.openxmlformats.org/officeDocument/2006/relationships/hyperlink" Target="https://www.g2b.go.kr/link/PNPE027_01/single/?bidPbancNo=R25BK01176684&amp;bidPbancOrd=000" TargetMode="External"/><Relationship Id="rId99" Type="http://schemas.openxmlformats.org/officeDocument/2006/relationships/hyperlink" Target="https://www.g2b.go.kr/link/PNPE027_01/single/?bidPbancNo=R25BK00569905&amp;bidPbancOrd=000" TargetMode="External"/><Relationship Id="rId101" Type="http://schemas.openxmlformats.org/officeDocument/2006/relationships/hyperlink" Target="https://www.g2b.go.kr/link/PNPE027_01/single/?bidPbancNo=R25BK00569820&amp;bidPbancOrd=000" TargetMode="External"/><Relationship Id="rId122" Type="http://schemas.openxmlformats.org/officeDocument/2006/relationships/hyperlink" Target="https://www.g2b.go.kr/link/PNPE027_01/single/?bidPbancNo=R25BK00736975&amp;bidPbancOrd=000" TargetMode="External"/><Relationship Id="rId143" Type="http://schemas.openxmlformats.org/officeDocument/2006/relationships/hyperlink" Target="https://www.g2b.go.kr/link/PNPE027_01/single/?bidPbancNo=R25BK00860970&amp;bidPbancOrd=000" TargetMode="External"/><Relationship Id="rId148" Type="http://schemas.openxmlformats.org/officeDocument/2006/relationships/hyperlink" Target="https://www.g2b.go.kr/link/PNPE027_01/single/?bidPbancNo=R25BK00881077&amp;bidPbancOrd=000" TargetMode="External"/><Relationship Id="rId164" Type="http://schemas.openxmlformats.org/officeDocument/2006/relationships/hyperlink" Target="https://www.g2b.go.kr/link/PNPE027_01/single/?bidPbancNo=R25BK00995694&amp;bidPbancOrd=000" TargetMode="External"/><Relationship Id="rId169" Type="http://schemas.openxmlformats.org/officeDocument/2006/relationships/hyperlink" Target="https://www.g2b.go.kr/link/PNPE027_01/single/?bidPbancNo=R25BK01043660&amp;bidPbancOrd=000" TargetMode="External"/><Relationship Id="rId4" Type="http://schemas.openxmlformats.org/officeDocument/2006/relationships/hyperlink" Target="https://www.g2b.go.kr/link/PNPE027_01/single/?bidPbancNo=R25BK00603339&amp;bidPbancOrd=000" TargetMode="External"/><Relationship Id="rId9" Type="http://schemas.openxmlformats.org/officeDocument/2006/relationships/hyperlink" Target="https://www.g2b.go.kr/link/PNPE027_01/single/?bidPbancNo=R25BK00722919&amp;bidPbancOrd=000" TargetMode="External"/><Relationship Id="rId26" Type="http://schemas.openxmlformats.org/officeDocument/2006/relationships/hyperlink" Target="https://www.g2b.go.kr/link/PNPE027_01/single/?bidPbancNo=R25BK00833712&amp;bidPbancOrd=000" TargetMode="External"/><Relationship Id="rId47" Type="http://schemas.openxmlformats.org/officeDocument/2006/relationships/hyperlink" Target="https://www.g2b.go.kr/link/PNPE027_01/single/?bidPbancNo=R25BK01116579&amp;bidPbancOrd=000" TargetMode="External"/><Relationship Id="rId68" Type="http://schemas.openxmlformats.org/officeDocument/2006/relationships/hyperlink" Target="https://www.g2b.go.kr/link/PNPE027_01/single/?bidPbancNo=R25BK00680661&amp;bidPbancOrd=000" TargetMode="External"/><Relationship Id="rId89" Type="http://schemas.openxmlformats.org/officeDocument/2006/relationships/hyperlink" Target="https://www.g2b.go.kr/link/PNPE027_01/single/?bidPbancNo=R25BK01077126&amp;bidPbancOrd=000" TargetMode="External"/><Relationship Id="rId112" Type="http://schemas.openxmlformats.org/officeDocument/2006/relationships/hyperlink" Target="https://www.g2b.go.kr/link/PNPE027_01/single/?bidPbancNo=R25BK00687769&amp;bidPbancOrd=000" TargetMode="External"/><Relationship Id="rId133" Type="http://schemas.openxmlformats.org/officeDocument/2006/relationships/hyperlink" Target="https://www.g2b.go.kr/link/PNPE027_01/single/?bidPbancNo=R25BK00790713&amp;bidPbancOrd=000" TargetMode="External"/><Relationship Id="rId154" Type="http://schemas.openxmlformats.org/officeDocument/2006/relationships/hyperlink" Target="https://www.g2b.go.kr/link/PNPE027_01/single/?bidPbancNo=R25BK00923748&amp;bidPbancOrd=000" TargetMode="External"/><Relationship Id="rId175" Type="http://schemas.openxmlformats.org/officeDocument/2006/relationships/hyperlink" Target="https://www.g2b.go.kr/link/PNPE027_01/single/?bidPbancNo=R25BK01235642&amp;bidPbancOrd=000" TargetMode="External"/><Relationship Id="rId16" Type="http://schemas.openxmlformats.org/officeDocument/2006/relationships/hyperlink" Target="https://www.g2b.go.kr/link/PNPE027_01/single/?bidPbancNo=R25BK00763686&amp;bidPbancOrd=000" TargetMode="External"/><Relationship Id="rId37" Type="http://schemas.openxmlformats.org/officeDocument/2006/relationships/hyperlink" Target="https://www.g2b.go.kr/link/PNPE027_01/single/?bidPbancNo=R25BK00968131&amp;bidPbancOrd=000" TargetMode="External"/><Relationship Id="rId58" Type="http://schemas.openxmlformats.org/officeDocument/2006/relationships/hyperlink" Target="https://www.g2b.go.kr/link/PNPE027_01/single/?bidPbancNo=R25BK01159302&amp;bidPbancOrd=000" TargetMode="External"/><Relationship Id="rId79" Type="http://schemas.openxmlformats.org/officeDocument/2006/relationships/hyperlink" Target="https://www.g2b.go.kr/link/PNPE027_01/single/?bidPbancNo=R25BK00876729&amp;bidPbancOrd=000" TargetMode="External"/><Relationship Id="rId102" Type="http://schemas.openxmlformats.org/officeDocument/2006/relationships/hyperlink" Target="https://www.g2b.go.kr/link/PNPE027_01/single/?bidPbancNo=R25BK00590852&amp;bidPbancOrd=000" TargetMode="External"/><Relationship Id="rId123" Type="http://schemas.openxmlformats.org/officeDocument/2006/relationships/hyperlink" Target="https://www.g2b.go.kr/link/PNPE027_01/single/?bidPbancNo=R25BK00757592&amp;bidPbancOrd=000" TargetMode="External"/><Relationship Id="rId144" Type="http://schemas.openxmlformats.org/officeDocument/2006/relationships/hyperlink" Target="https://www.g2b.go.kr/link/PNPE027_01/single/?bidPbancNo=R25BK00866705&amp;bidPbancOrd=000" TargetMode="External"/><Relationship Id="rId90" Type="http://schemas.openxmlformats.org/officeDocument/2006/relationships/hyperlink" Target="https://www.g2b.go.kr/link/PNPE027_01/single/?bidPbancNo=R25BK01099677&amp;bidPbancOrd=000" TargetMode="External"/><Relationship Id="rId165" Type="http://schemas.openxmlformats.org/officeDocument/2006/relationships/hyperlink" Target="https://www.g2b.go.kr/link/PNPE027_01/single/?bidPbancNo=R25BK01013002&amp;bidPbancOrd=000" TargetMode="External"/><Relationship Id="rId27" Type="http://schemas.openxmlformats.org/officeDocument/2006/relationships/hyperlink" Target="https://www.g2b.go.kr/link/PNPE027_01/single/?bidPbancNo=R25BK00832788&amp;bidPbancOrd=000" TargetMode="External"/><Relationship Id="rId48" Type="http://schemas.openxmlformats.org/officeDocument/2006/relationships/hyperlink" Target="https://www.g2b.go.kr/link/PNPE027_01/single/?bidPbancNo=R25BK01114772&amp;bidPbancOrd=000" TargetMode="External"/><Relationship Id="rId69" Type="http://schemas.openxmlformats.org/officeDocument/2006/relationships/hyperlink" Target="https://www.g2b.go.kr/link/PNPE027_01/single/?bidPbancNo=R25BK00691749&amp;bidPbancOrd=000" TargetMode="External"/><Relationship Id="rId113" Type="http://schemas.openxmlformats.org/officeDocument/2006/relationships/hyperlink" Target="https://www.g2b.go.kr/link/PNPE027_01/single/?bidPbancNo=R25BK00689948&amp;bidPbancOrd=000" TargetMode="External"/><Relationship Id="rId134" Type="http://schemas.openxmlformats.org/officeDocument/2006/relationships/hyperlink" Target="https://www.g2b.go.kr/link/PNPE027_01/single/?bidPbancNo=R25BK00789491&amp;bidPbancOrd=000" TargetMode="External"/><Relationship Id="rId80" Type="http://schemas.openxmlformats.org/officeDocument/2006/relationships/hyperlink" Target="https://www.g2b.go.kr/link/PNPE027_01/single/?bidPbancNo=R25BK00879901&amp;bidPbancOrd=000" TargetMode="External"/><Relationship Id="rId155" Type="http://schemas.openxmlformats.org/officeDocument/2006/relationships/hyperlink" Target="https://www.g2b.go.kr/link/PNPE027_01/single/?bidPbancNo=R25BK00927838&amp;bidPbancOrd=000" TargetMode="External"/><Relationship Id="rId176" Type="http://schemas.openxmlformats.org/officeDocument/2006/relationships/table" Target="../tables/table4.xml"/><Relationship Id="rId17" Type="http://schemas.openxmlformats.org/officeDocument/2006/relationships/hyperlink" Target="https://www.g2b.go.kr/link/PNPE027_01/single/?bidPbancNo=R25BK00774903&amp;bidPbancOrd=000" TargetMode="External"/><Relationship Id="rId38" Type="http://schemas.openxmlformats.org/officeDocument/2006/relationships/hyperlink" Target="https://www.g2b.go.kr/link/PNPE027_01/single/?bidPbancNo=R25BK00972784&amp;bidPbancOrd=000" TargetMode="External"/><Relationship Id="rId59" Type="http://schemas.openxmlformats.org/officeDocument/2006/relationships/hyperlink" Target="https://www.g2b.go.kr/link/PNPE027_01/single/?bidPbancNo=R25BK01180030&amp;bidPbancOrd=000" TargetMode="External"/><Relationship Id="rId103" Type="http://schemas.openxmlformats.org/officeDocument/2006/relationships/hyperlink" Target="https://www.g2b.go.kr/link/PNPE027_01/single/?bidPbancNo=R25BK00590943&amp;bidPbancOrd=000" TargetMode="External"/><Relationship Id="rId124" Type="http://schemas.openxmlformats.org/officeDocument/2006/relationships/hyperlink" Target="https://www.g2b.go.kr/link/PNPE027_01/single/?bidPbancNo=R25BK00763917&amp;bidPbancOrd=000" TargetMode="External"/><Relationship Id="rId70" Type="http://schemas.openxmlformats.org/officeDocument/2006/relationships/hyperlink" Target="https://www.g2b.go.kr/link/PNPE027_01/single/?bidPbancNo=R25BK00717079&amp;bidPbancOrd=000" TargetMode="External"/><Relationship Id="rId91" Type="http://schemas.openxmlformats.org/officeDocument/2006/relationships/hyperlink" Target="https://www.g2b.go.kr/link/PNPE027_01/single/?bidPbancNo=R25BK01099649&amp;bidPbancOrd=001" TargetMode="External"/><Relationship Id="rId145" Type="http://schemas.openxmlformats.org/officeDocument/2006/relationships/hyperlink" Target="https://www.g2b.go.kr/link/PNPE027_01/single/?bidPbancNo=R25BK00866999&amp;bidPbancOrd=000" TargetMode="External"/><Relationship Id="rId166" Type="http://schemas.openxmlformats.org/officeDocument/2006/relationships/hyperlink" Target="https://www.g2b.go.kr/link/PNPE027_01/single/?bidPbancNo=R25BK01020616&amp;bidPbancOrd=000" TargetMode="External"/><Relationship Id="rId1" Type="http://schemas.openxmlformats.org/officeDocument/2006/relationships/hyperlink" Target="https://www.g2b.go.kr/link/PNPE027_01/single/?bidPbancNo=R25BK00554019&amp;bidPbancOrd=000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2b.go.kr/link/PNPE027_01/single/?bidPbancNo=20240239739&amp;bidPbancOrd=000" TargetMode="External"/><Relationship Id="rId21" Type="http://schemas.openxmlformats.org/officeDocument/2006/relationships/hyperlink" Target="https://www.g2b.go.kr/link/PNPE027_01/single/?bidPbancNo=20240610733&amp;bidPbancOrd=000" TargetMode="External"/><Relationship Id="rId42" Type="http://schemas.openxmlformats.org/officeDocument/2006/relationships/hyperlink" Target="https://www.g2b.go.kr:8101/ep/tbid/selectOthersBidDtl.do?tbidno=20240822389&amp;bidseq=00" TargetMode="External"/><Relationship Id="rId63" Type="http://schemas.openxmlformats.org/officeDocument/2006/relationships/hyperlink" Target="https://www.g2b.go.kr/link/PNPE027_01/single/?bidPbancNo=20240342762&amp;bidPbancOrd=000" TargetMode="External"/><Relationship Id="rId84" Type="http://schemas.openxmlformats.org/officeDocument/2006/relationships/hyperlink" Target="https://www.g2b.go.kr:8101/ep/tbid/serviceBidDtl.do?tbidno=20240813828&amp;bidseq=00" TargetMode="External"/><Relationship Id="rId138" Type="http://schemas.openxmlformats.org/officeDocument/2006/relationships/hyperlink" Target="https://www.g2b.go.kr/link/PNPE027_01/single/?bidPbancNo=20240505489&amp;bidPbancOrd=000" TargetMode="External"/><Relationship Id="rId159" Type="http://schemas.openxmlformats.org/officeDocument/2006/relationships/hyperlink" Target="https://www.g2b.go.kr/link/PNPE027_01/single/?bidPbancNo=20240711432&amp;bidPbancOrd=000" TargetMode="External"/><Relationship Id="rId170" Type="http://schemas.openxmlformats.org/officeDocument/2006/relationships/hyperlink" Target="https://www.g2b.go.kr:8101/ep/tbid/serviceBidDtl.do?tbidno=20241026073&amp;bidseq=00" TargetMode="External"/><Relationship Id="rId107" Type="http://schemas.openxmlformats.org/officeDocument/2006/relationships/hyperlink" Target="https://www.g2b.go.kr/link/PNPE027_01/single/?bidPbancNo=20240204112&amp;bidPbancOrd=000" TargetMode="External"/><Relationship Id="rId11" Type="http://schemas.openxmlformats.org/officeDocument/2006/relationships/hyperlink" Target="https://www.g2b.go.kr/link/PNPE027_01/single/?bidPbancNo=20240322109&amp;bidPbancOrd=001" TargetMode="External"/><Relationship Id="rId32" Type="http://schemas.openxmlformats.org/officeDocument/2006/relationships/hyperlink" Target="https://www.g2b.go.kr/link/PNPE027_01/single/?bidPbancNo=20240635407&amp;bidPbancOrd=000" TargetMode="External"/><Relationship Id="rId53" Type="http://schemas.openxmlformats.org/officeDocument/2006/relationships/hyperlink" Target="https://www.g2b.go.kr/link/PNPE027_01/single/?bidPbancNo=20241110955&amp;bidPbancOrd=000" TargetMode="External"/><Relationship Id="rId74" Type="http://schemas.openxmlformats.org/officeDocument/2006/relationships/hyperlink" Target="https://www.g2b.go.kr/link/PNPE027_01/single/?bidPbancNo=20240527311&amp;bidPbancOrd=000" TargetMode="External"/><Relationship Id="rId128" Type="http://schemas.openxmlformats.org/officeDocument/2006/relationships/hyperlink" Target="https://www.g2b.go.kr/link/PNPE027_01/single/?bidPbancNo=20240406360&amp;bidPbancOrd=000" TargetMode="External"/><Relationship Id="rId149" Type="http://schemas.openxmlformats.org/officeDocument/2006/relationships/hyperlink" Target="https://www.g2b.go.kr/link/PNPE027_01/single/?bidPbancNo=20240601981&amp;bidPbancOrd=000" TargetMode="External"/><Relationship Id="rId5" Type="http://schemas.openxmlformats.org/officeDocument/2006/relationships/hyperlink" Target="https://www.g2b.go.kr/link/PNPE027_01/single/?bidPbancNo=20240230974&amp;bidPbancOrd=000" TargetMode="External"/><Relationship Id="rId95" Type="http://schemas.openxmlformats.org/officeDocument/2006/relationships/hyperlink" Target="https://www.g2b.go.kr:8101/ep/tbid/selectOthersBidDtl.do?tbidno=20241015397&amp;bidseq=00" TargetMode="External"/><Relationship Id="rId160" Type="http://schemas.openxmlformats.org/officeDocument/2006/relationships/hyperlink" Target="https://www.g2b.go.kr/link/PNPE027_01/single/?bidPbancNo=20240718129&amp;bidPbancOrd=000" TargetMode="External"/><Relationship Id="rId22" Type="http://schemas.openxmlformats.org/officeDocument/2006/relationships/hyperlink" Target="https://www.g2b.go.kr/link/PNPE027_01/single/?bidPbancNo=20240610756&amp;bidPbancOrd=000" TargetMode="External"/><Relationship Id="rId43" Type="http://schemas.openxmlformats.org/officeDocument/2006/relationships/hyperlink" Target="https://www.g2b.go.kr/link/PNPE027_01/single/?bidPbancNo=20240826829&amp;bidPbancOrd=000" TargetMode="External"/><Relationship Id="rId64" Type="http://schemas.openxmlformats.org/officeDocument/2006/relationships/hyperlink" Target="https://www.g2b.go.kr/link/PNPE027_01/single/?bidPbancNo=20240340415&amp;bidPbancOrd=000" TargetMode="External"/><Relationship Id="rId118" Type="http://schemas.openxmlformats.org/officeDocument/2006/relationships/hyperlink" Target="https://www.g2b.go.kr/link/PNPE027_01/single/?bidPbancNo=20240308228&amp;bidPbancOrd=000" TargetMode="External"/><Relationship Id="rId139" Type="http://schemas.openxmlformats.org/officeDocument/2006/relationships/hyperlink" Target="https://www.g2b.go.kr/link/PNPE027_01/single/?bidPbancNo=20240513057&amp;bidPbancOrd=000" TargetMode="External"/><Relationship Id="rId85" Type="http://schemas.openxmlformats.org/officeDocument/2006/relationships/hyperlink" Target="https://www.g2b.go.kr/link/PNPE027_01/single/?bidPbancNo=20240813855&amp;bidPbancOrd=001" TargetMode="External"/><Relationship Id="rId150" Type="http://schemas.openxmlformats.org/officeDocument/2006/relationships/hyperlink" Target="https://www.g2b.go.kr/link/PNPE027_01/single/?bidPbancNo=20240602597&amp;bidPbancOrd=000" TargetMode="External"/><Relationship Id="rId171" Type="http://schemas.openxmlformats.org/officeDocument/2006/relationships/hyperlink" Target="https://www.g2b.go.kr/link/PNPE027_01/single/?bidPbancNo=20241034772&amp;bidPbancOrd=000" TargetMode="External"/><Relationship Id="rId12" Type="http://schemas.openxmlformats.org/officeDocument/2006/relationships/hyperlink" Target="https://www.g2b.go.kr/link/PNPE027_01/single/?bidPbancNo=20240340476&amp;bidPbancOrd=000" TargetMode="External"/><Relationship Id="rId33" Type="http://schemas.openxmlformats.org/officeDocument/2006/relationships/hyperlink" Target="https://www.g2b.go.kr/link/PNPE027_01/single/?bidPbancNo=20240635902&amp;bidPbancOrd=000" TargetMode="External"/><Relationship Id="rId108" Type="http://schemas.openxmlformats.org/officeDocument/2006/relationships/hyperlink" Target="https://www.g2b.go.kr/link/PNPE027_01/single/?bidPbancNo=20240204144&amp;bidPbancOrd=000" TargetMode="External"/><Relationship Id="rId129" Type="http://schemas.openxmlformats.org/officeDocument/2006/relationships/hyperlink" Target="https://www.g2b.go.kr/link/PNPE027_01/single/?bidPbancNo=20240417905&amp;bidPbancOrd=000" TargetMode="External"/><Relationship Id="rId54" Type="http://schemas.openxmlformats.org/officeDocument/2006/relationships/hyperlink" Target="https://www.g2b.go.kr/link/PNPE027_01/single/?bidPbancNo=20241112768&amp;bidPbancOrd=000" TargetMode="External"/><Relationship Id="rId75" Type="http://schemas.openxmlformats.org/officeDocument/2006/relationships/hyperlink" Target="https://www.g2b.go.kr/link/PNPE027_01/single/?bidPbancNo=20240527967&amp;bidPbancOrd=000" TargetMode="External"/><Relationship Id="rId96" Type="http://schemas.openxmlformats.org/officeDocument/2006/relationships/hyperlink" Target="https://www.g2b.go.kr/link/PNPE027_01/single/?bidPbancNo=20241015878&amp;bidPbancOrd=000" TargetMode="External"/><Relationship Id="rId140" Type="http://schemas.openxmlformats.org/officeDocument/2006/relationships/hyperlink" Target="https://www.g2b.go.kr/link/PNPE027_01/single/?bidPbancNo=20240515241&amp;bidPbancOrd=000" TargetMode="External"/><Relationship Id="rId161" Type="http://schemas.openxmlformats.org/officeDocument/2006/relationships/hyperlink" Target="https://www.g2b.go.kr/link/PNPE027_01/single/?bidPbancNo=20240718129&amp;bidPbancOrd=001" TargetMode="External"/><Relationship Id="rId1" Type="http://schemas.openxmlformats.org/officeDocument/2006/relationships/hyperlink" Target="https://www.g2b.go.kr/link/PNPE027_01/single/?bidPbancNo=20240105019&amp;bidPbancOrd=000" TargetMode="External"/><Relationship Id="rId6" Type="http://schemas.openxmlformats.org/officeDocument/2006/relationships/hyperlink" Target="https://www.g2b.go.kr/link/PNPE027_01/single/?bidPbancNo=20240309857&amp;bidPbancOrd=000" TargetMode="External"/><Relationship Id="rId23" Type="http://schemas.openxmlformats.org/officeDocument/2006/relationships/hyperlink" Target="https://www.g2b.go.kr/link/PNPE027_01/single/?bidPbancNo=20240611522&amp;bidPbancOrd=000" TargetMode="External"/><Relationship Id="rId28" Type="http://schemas.openxmlformats.org/officeDocument/2006/relationships/hyperlink" Target="https://www.g2b.go.kr/link/PNPE027_01/single/?bidPbancNo=20240620936&amp;bidPbancOrd=000" TargetMode="External"/><Relationship Id="rId49" Type="http://schemas.openxmlformats.org/officeDocument/2006/relationships/hyperlink" Target="https://www.g2b.go.kr/link/PNPE027_01/single/?bidPbancNo=20241020743&amp;bidPbancOrd=000" TargetMode="External"/><Relationship Id="rId114" Type="http://schemas.openxmlformats.org/officeDocument/2006/relationships/hyperlink" Target="https://www.g2b.go.kr/link/PNPE027_01/single/?bidPbancNo=20240213128&amp;bidPbancOrd=002" TargetMode="External"/><Relationship Id="rId119" Type="http://schemas.openxmlformats.org/officeDocument/2006/relationships/hyperlink" Target="https://www.g2b.go.kr/link/PNPE027_01/single/?bidPbancNo=20240312827&amp;bidPbancOrd=000" TargetMode="External"/><Relationship Id="rId44" Type="http://schemas.openxmlformats.org/officeDocument/2006/relationships/hyperlink" Target="https://www.g2b.go.kr/link/PNPE027_01/single/?bidPbancNo=20240903621&amp;bidPbancOrd=000" TargetMode="External"/><Relationship Id="rId60" Type="http://schemas.openxmlformats.org/officeDocument/2006/relationships/hyperlink" Target="https://www.g2b.go.kr/link/PNPE027_01/single/?bidPbancNo=20240301632&amp;bidPbancOrd=000" TargetMode="External"/><Relationship Id="rId65" Type="http://schemas.openxmlformats.org/officeDocument/2006/relationships/hyperlink" Target="https://www.g2b.go.kr/link/PNPE027_01/single/?bidPbancNo=20240403333&amp;bidPbancOrd=000" TargetMode="External"/><Relationship Id="rId81" Type="http://schemas.openxmlformats.org/officeDocument/2006/relationships/hyperlink" Target="https://www.g2b.go.kr/link/PNPE027_01/single/?bidPbancNo=20240730579&amp;bidPbancOrd=000" TargetMode="External"/><Relationship Id="rId86" Type="http://schemas.openxmlformats.org/officeDocument/2006/relationships/hyperlink" Target="https://www.g2b.go.kr/link/PNPE027_01/single/?bidPbancNo=20240820730&amp;bidPbancOrd=000" TargetMode="External"/><Relationship Id="rId130" Type="http://schemas.openxmlformats.org/officeDocument/2006/relationships/hyperlink" Target="https://www.g2b.go.kr/link/PNPE027_01/single/?bidPbancNo=20240417867&amp;bidPbancOrd=000" TargetMode="External"/><Relationship Id="rId135" Type="http://schemas.openxmlformats.org/officeDocument/2006/relationships/hyperlink" Target="https://www.g2b.go.kr/link/PNPE027_01/single/?bidPbancNo=20240433723&amp;bidPbancOrd=000" TargetMode="External"/><Relationship Id="rId151" Type="http://schemas.openxmlformats.org/officeDocument/2006/relationships/hyperlink" Target="https://www.g2b.go.kr/link/PNPE027_01/single/?bidPbancNo=20240606699&amp;bidPbancOrd=000" TargetMode="External"/><Relationship Id="rId156" Type="http://schemas.openxmlformats.org/officeDocument/2006/relationships/hyperlink" Target="https://www.g2b.go.kr/link/PNPE027_01/single/?bidPbancNo=20240700072&amp;bidPbancOrd=000" TargetMode="External"/><Relationship Id="rId172" Type="http://schemas.openxmlformats.org/officeDocument/2006/relationships/hyperlink" Target="https://www.g2b.go.kr/link/PNPE027_01/single/?bidPbancNo=20241124433&amp;bidPbancOrd=000" TargetMode="External"/><Relationship Id="rId13" Type="http://schemas.openxmlformats.org/officeDocument/2006/relationships/hyperlink" Target="https://www.g2b.go.kr/link/PNPE027_01/single/?bidPbancNo=20240434473&amp;bidPbancOrd=000" TargetMode="External"/><Relationship Id="rId18" Type="http://schemas.openxmlformats.org/officeDocument/2006/relationships/hyperlink" Target="https://www.g2b.go.kr/link/PNPE027_01/single/?bidPbancNo=20240531147&amp;bidPbancOrd=001" TargetMode="External"/><Relationship Id="rId39" Type="http://schemas.openxmlformats.org/officeDocument/2006/relationships/hyperlink" Target="https://www.g2b.go.kr/link/PNPE027_01/single/?bidPbancNo=20240725181&amp;bidPbancOrd=000" TargetMode="External"/><Relationship Id="rId109" Type="http://schemas.openxmlformats.org/officeDocument/2006/relationships/hyperlink" Target="https://www.g2b.go.kr/link/PNPE027_01/single/?bidPbancNo=20240219360&amp;bidPbancOrd=000" TargetMode="External"/><Relationship Id="rId34" Type="http://schemas.openxmlformats.org/officeDocument/2006/relationships/hyperlink" Target="https://www.g2b.go.kr/link/PNPE027_01/single/?bidPbancNo=20240702487&amp;bidPbancOrd=000" TargetMode="External"/><Relationship Id="rId50" Type="http://schemas.openxmlformats.org/officeDocument/2006/relationships/hyperlink" Target="https://www.g2b.go.kr/link/PNPE027_01/single/?bidPbancNo=20241022885&amp;bidPbancOrd=000" TargetMode="External"/><Relationship Id="rId55" Type="http://schemas.openxmlformats.org/officeDocument/2006/relationships/hyperlink" Target="https://www.g2b.go.kr:8101/ep/tbid/selectOthersBidDtl.do?tbidno=20241136757&amp;bidseq=00" TargetMode="External"/><Relationship Id="rId76" Type="http://schemas.openxmlformats.org/officeDocument/2006/relationships/hyperlink" Target="https://www.g2b.go.kr/link/PNPE027_01/single/?bidPbancNo=20240535561&amp;bidPbancOrd=000" TargetMode="External"/><Relationship Id="rId97" Type="http://schemas.openxmlformats.org/officeDocument/2006/relationships/hyperlink" Target="https://www.g2b.go.kr:8101/ep/tbid/selectOthersBidDtl.do?tbidno=20241022422&amp;bidseq=00" TargetMode="External"/><Relationship Id="rId104" Type="http://schemas.openxmlformats.org/officeDocument/2006/relationships/hyperlink" Target="https://www.g2b.go.kr/link/PNPE027_01/single/?bidPbancNo=20240121252&amp;bidPbancOrd=000" TargetMode="External"/><Relationship Id="rId120" Type="http://schemas.openxmlformats.org/officeDocument/2006/relationships/hyperlink" Target="https://www.g2b.go.kr/link/PNPE027_01/single/?bidPbancNo=20240314359&amp;bidPbancOrd=000" TargetMode="External"/><Relationship Id="rId125" Type="http://schemas.openxmlformats.org/officeDocument/2006/relationships/hyperlink" Target="https://www.g2b.go.kr/link/PNPE027_01/single/?bidPbancNo=20240343266&amp;bidPbancOrd=000" TargetMode="External"/><Relationship Id="rId141" Type="http://schemas.openxmlformats.org/officeDocument/2006/relationships/hyperlink" Target="https://www.g2b.go.kr/link/PNPE027_01/single/?bidPbancNo=20240523289&amp;bidPbancOrd=000" TargetMode="External"/><Relationship Id="rId146" Type="http://schemas.openxmlformats.org/officeDocument/2006/relationships/hyperlink" Target="https://www.g2b.go.kr/link/PNPE027_01/single/?bidPbancNo=20240532626&amp;bidPbancOrd=000" TargetMode="External"/><Relationship Id="rId167" Type="http://schemas.openxmlformats.org/officeDocument/2006/relationships/hyperlink" Target="https://www.g2b.go.kr/link/PNPE027_01/single/?bidPbancNo=20240906266&amp;bidPbancOrd=000" TargetMode="External"/><Relationship Id="rId7" Type="http://schemas.openxmlformats.org/officeDocument/2006/relationships/hyperlink" Target="https://www.g2b.go.kr/link/PNPE027_01/single/?bidPbancNo=20240322109&amp;bidPbancOrd=000" TargetMode="External"/><Relationship Id="rId71" Type="http://schemas.openxmlformats.org/officeDocument/2006/relationships/hyperlink" Target="https://www.g2b.go.kr/link/PNPE027_01/single/?bidPbancNo=20240516610&amp;bidPbancOrd=000" TargetMode="External"/><Relationship Id="rId92" Type="http://schemas.openxmlformats.org/officeDocument/2006/relationships/hyperlink" Target="https://www.g2b.go.kr:8101/ep/tbid/selectOthersBidDtl.do?tbidno=20241002545&amp;bidseq=00" TargetMode="External"/><Relationship Id="rId162" Type="http://schemas.openxmlformats.org/officeDocument/2006/relationships/hyperlink" Target="https://www.g2b.go.kr/link/PNPE027_01/single/?bidPbancNo=20240719833&amp;bidPbancOrd=000" TargetMode="External"/><Relationship Id="rId2" Type="http://schemas.openxmlformats.org/officeDocument/2006/relationships/hyperlink" Target="https://www.g2b.go.kr:8101/ep/tbid/selectOthersBidDtl.do?tbidno=20240111310&amp;bidseq=00" TargetMode="External"/><Relationship Id="rId29" Type="http://schemas.openxmlformats.org/officeDocument/2006/relationships/hyperlink" Target="https://www.g2b.go.kr/link/PNPE027_01/single/?bidPbancNo=20240621459&amp;bidPbancOrd=000" TargetMode="External"/><Relationship Id="rId24" Type="http://schemas.openxmlformats.org/officeDocument/2006/relationships/hyperlink" Target="https://www.g2b.go.kr/link/PNPE027_01/single/?bidPbancNo=20240614947&amp;bidPbancOrd=000" TargetMode="External"/><Relationship Id="rId40" Type="http://schemas.openxmlformats.org/officeDocument/2006/relationships/hyperlink" Target="https://www.g2b.go.kr/link/PNPE027_01/single/?bidPbancNo=20240801302&amp;bidPbancOrd=000" TargetMode="External"/><Relationship Id="rId45" Type="http://schemas.openxmlformats.org/officeDocument/2006/relationships/hyperlink" Target="https://www.g2b.go.kr/link/PNPE027_01/single/?bidPbancNo=20240911299&amp;bidPbancOrd=000" TargetMode="External"/><Relationship Id="rId66" Type="http://schemas.openxmlformats.org/officeDocument/2006/relationships/hyperlink" Target="https://www.g2b.go.kr/link/PNPE027_01/single/?bidPbancNo=20240415027&amp;bidPbancOrd=000" TargetMode="External"/><Relationship Id="rId87" Type="http://schemas.openxmlformats.org/officeDocument/2006/relationships/hyperlink" Target="https://www.g2b.go.kr/link/PNPE027_01/single/?bidPbancNo=20240909377&amp;bidPbancOrd=000" TargetMode="External"/><Relationship Id="rId110" Type="http://schemas.openxmlformats.org/officeDocument/2006/relationships/hyperlink" Target="https://www.g2b.go.kr/link/PNPE027_01/single/?bidPbancNo=20240219539&amp;bidPbancOrd=000" TargetMode="External"/><Relationship Id="rId115" Type="http://schemas.openxmlformats.org/officeDocument/2006/relationships/hyperlink" Target="https://www.g2b.go.kr/link/PNPE027_01/single/?bidPbancNo=20240225809&amp;bidPbancOrd=000" TargetMode="External"/><Relationship Id="rId131" Type="http://schemas.openxmlformats.org/officeDocument/2006/relationships/hyperlink" Target="https://www.g2b.go.kr/link/PNPE027_01/single/?bidPbancNo=20240422477&amp;bidPbancOrd=000" TargetMode="External"/><Relationship Id="rId136" Type="http://schemas.openxmlformats.org/officeDocument/2006/relationships/hyperlink" Target="https://www.g2b.go.kr/link/PNPE027_01/single/?bidPbancNo=20240502807&amp;bidPbancOrd=000" TargetMode="External"/><Relationship Id="rId157" Type="http://schemas.openxmlformats.org/officeDocument/2006/relationships/hyperlink" Target="https://www.g2b.go.kr/link/PNPE027_01/single/?bidPbancNo=20240706499&amp;bidPbancOrd=000" TargetMode="External"/><Relationship Id="rId61" Type="http://schemas.openxmlformats.org/officeDocument/2006/relationships/hyperlink" Target="https://www.g2b.go.kr/link/PNPE027_01/single/?bidPbancNo=20240326696&amp;bidPbancOrd=000" TargetMode="External"/><Relationship Id="rId82" Type="http://schemas.openxmlformats.org/officeDocument/2006/relationships/hyperlink" Target="https://www.g2b.go.kr/link/PNPE027_01/single/?bidPbancNo=20240806096&amp;bidPbancOrd=000" TargetMode="External"/><Relationship Id="rId152" Type="http://schemas.openxmlformats.org/officeDocument/2006/relationships/hyperlink" Target="https://www.g2b.go.kr/link/PNPE027_01/single/?bidPbancNo=20240618990&amp;bidPbancOrd=000" TargetMode="External"/><Relationship Id="rId173" Type="http://schemas.openxmlformats.org/officeDocument/2006/relationships/table" Target="../tables/table7.xml"/><Relationship Id="rId19" Type="http://schemas.openxmlformats.org/officeDocument/2006/relationships/hyperlink" Target="https://www.g2b.go.kr/link/PNPE027_01/single/?bidPbancNo=20240541105&amp;bidPbancOrd=000" TargetMode="External"/><Relationship Id="rId14" Type="http://schemas.openxmlformats.org/officeDocument/2006/relationships/hyperlink" Target="https://www.g2b.go.kr/link/PNPE027_01/single/?bidPbancNo=20240439747&amp;bidPbancOrd=000" TargetMode="External"/><Relationship Id="rId30" Type="http://schemas.openxmlformats.org/officeDocument/2006/relationships/hyperlink" Target="https://www.g2b.go.kr/link/PNPE027_01/single/?bidPbancNo=20240621459&amp;bidPbancOrd=001" TargetMode="External"/><Relationship Id="rId35" Type="http://schemas.openxmlformats.org/officeDocument/2006/relationships/hyperlink" Target="https://www.g2b.go.kr/link/PNPE027_01/single/?bidPbancNo=20240718639&amp;bidPbancOrd=000" TargetMode="External"/><Relationship Id="rId56" Type="http://schemas.openxmlformats.org/officeDocument/2006/relationships/hyperlink" Target="https://www.g2b.go.kr/link/PNPE027_01/single/?bidPbancNo=20241219289&amp;bidPbancOrd=000" TargetMode="External"/><Relationship Id="rId77" Type="http://schemas.openxmlformats.org/officeDocument/2006/relationships/hyperlink" Target="https://www.g2b.go.kr/link/PNPE027_01/single/?bidPbancNo=20240536974&amp;bidPbancOrd=001" TargetMode="External"/><Relationship Id="rId100" Type="http://schemas.openxmlformats.org/officeDocument/2006/relationships/hyperlink" Target="https://www.g2b.go.kr/link/PNPE027_01/single/?bidPbancNo=20241031139&amp;bidPbancOrd=000" TargetMode="External"/><Relationship Id="rId105" Type="http://schemas.openxmlformats.org/officeDocument/2006/relationships/hyperlink" Target="https://www.g2b.go.kr/link/PNPE027_01/single/?bidPbancNo=20240130605&amp;bidPbancOrd=000" TargetMode="External"/><Relationship Id="rId126" Type="http://schemas.openxmlformats.org/officeDocument/2006/relationships/hyperlink" Target="https://www.g2b.go.kr/link/PNPE027_01/single/?bidPbancNo=20240401706&amp;bidPbancOrd=000" TargetMode="External"/><Relationship Id="rId147" Type="http://schemas.openxmlformats.org/officeDocument/2006/relationships/hyperlink" Target="https://www.g2b.go.kr/link/PNPE027_01/single/?bidPbancNo=20240534714&amp;bidPbancOrd=000" TargetMode="External"/><Relationship Id="rId168" Type="http://schemas.openxmlformats.org/officeDocument/2006/relationships/hyperlink" Target="https://www.g2b.go.kr/link/PNPE027_01/single/?bidPbancNo=20241000446&amp;bidPbancOrd=000" TargetMode="External"/><Relationship Id="rId8" Type="http://schemas.openxmlformats.org/officeDocument/2006/relationships/hyperlink" Target="https://www.g2b.go.kr/link/PNPE027_01/single/?bidPbancNo=20240326774&amp;bidPbancOrd=000" TargetMode="External"/><Relationship Id="rId51" Type="http://schemas.openxmlformats.org/officeDocument/2006/relationships/hyperlink" Target="https://www.g2b.go.kr/link/PNPE027_01/single/?bidPbancNo=20241020425&amp;bidPbancOrd=000" TargetMode="External"/><Relationship Id="rId72" Type="http://schemas.openxmlformats.org/officeDocument/2006/relationships/hyperlink" Target="https://www.g2b.go.kr/link/PNPE027_01/single/?bidPbancNo=20240520203&amp;bidPbancOrd=000" TargetMode="External"/><Relationship Id="rId93" Type="http://schemas.openxmlformats.org/officeDocument/2006/relationships/hyperlink" Target="https://www.g2b.go.kr/link/PNPE027_01/single/?bidPbancNo=20241008642&amp;bidPbancOrd=000" TargetMode="External"/><Relationship Id="rId98" Type="http://schemas.openxmlformats.org/officeDocument/2006/relationships/hyperlink" Target="https://www.g2b.go.kr/link/PNPE027_01/single/?bidPbancNo=20241020513&amp;bidPbancOrd=000" TargetMode="External"/><Relationship Id="rId121" Type="http://schemas.openxmlformats.org/officeDocument/2006/relationships/hyperlink" Target="https://www.g2b.go.kr/link/PNPE027_01/single/?bidPbancNo=20240318272&amp;bidPbancOrd=000" TargetMode="External"/><Relationship Id="rId142" Type="http://schemas.openxmlformats.org/officeDocument/2006/relationships/hyperlink" Target="https://www.g2b.go.kr/link/PNPE027_01/single/?bidPbancNo=20240523289&amp;bidPbancOrd=001" TargetMode="External"/><Relationship Id="rId163" Type="http://schemas.openxmlformats.org/officeDocument/2006/relationships/hyperlink" Target="https://www.g2b.go.kr/link/PNPE027_01/single/?bidPbancNo=20240731354&amp;bidPbancOrd=000" TargetMode="External"/><Relationship Id="rId3" Type="http://schemas.openxmlformats.org/officeDocument/2006/relationships/hyperlink" Target="https://www.g2b.go.kr/link/PNPE027_01/single/?bidPbancNo=20240133790&amp;bidPbancOrd=000" TargetMode="External"/><Relationship Id="rId25" Type="http://schemas.openxmlformats.org/officeDocument/2006/relationships/hyperlink" Target="https://www.g2b.go.kr/link/PNPE027_01/single/?bidPbancNo=20240618270&amp;bidPbancOrd=000" TargetMode="External"/><Relationship Id="rId46" Type="http://schemas.openxmlformats.org/officeDocument/2006/relationships/hyperlink" Target="https://www.g2b.go.kr/link/PNPE027_01/single/?bidPbancNo=20240913058&amp;bidPbancOrd=000" TargetMode="External"/><Relationship Id="rId67" Type="http://schemas.openxmlformats.org/officeDocument/2006/relationships/hyperlink" Target="https://www.g2b.go.kr/link/PNPE027_01/single/?bidPbancNo=20240429109&amp;bidPbancOrd=000" TargetMode="External"/><Relationship Id="rId116" Type="http://schemas.openxmlformats.org/officeDocument/2006/relationships/hyperlink" Target="https://www.g2b.go.kr/link/PNPE027_01/single/?bidPbancNo=20240237784&amp;bidPbancOrd=000" TargetMode="External"/><Relationship Id="rId137" Type="http://schemas.openxmlformats.org/officeDocument/2006/relationships/hyperlink" Target="https://www.g2b.go.kr/link/PNPE027_01/single/?bidPbancNo=20240506130&amp;bidPbancOrd=000" TargetMode="External"/><Relationship Id="rId158" Type="http://schemas.openxmlformats.org/officeDocument/2006/relationships/hyperlink" Target="https://www.g2b.go.kr/link/PNPE027_01/single/?bidPbancNo=20240709440&amp;bidPbancOrd=000" TargetMode="External"/><Relationship Id="rId20" Type="http://schemas.openxmlformats.org/officeDocument/2006/relationships/hyperlink" Target="https://www.g2b.go.kr/link/PNPE027_01/single/?bidPbancNo=20240603504&amp;bidPbancOrd=000" TargetMode="External"/><Relationship Id="rId41" Type="http://schemas.openxmlformats.org/officeDocument/2006/relationships/hyperlink" Target="https://www.g2b.go.kr/link/PNPE027_01/single/?bidPbancNo=20240808807&amp;bidPbancOrd=000" TargetMode="External"/><Relationship Id="rId62" Type="http://schemas.openxmlformats.org/officeDocument/2006/relationships/hyperlink" Target="https://www.g2b.go.kr/link/PNPE027_01/single/?bidPbancNo=20240334914&amp;bidPbancOrd=000" TargetMode="External"/><Relationship Id="rId83" Type="http://schemas.openxmlformats.org/officeDocument/2006/relationships/hyperlink" Target="https://www.g2b.go.kr:8101/ep/tbid/selectOthersBidDtl.do?tbidno=20240811163&amp;bidseq=00" TargetMode="External"/><Relationship Id="rId88" Type="http://schemas.openxmlformats.org/officeDocument/2006/relationships/hyperlink" Target="https://www.g2b.go.kr/link/PNPE027_01/single/?bidPbancNo=20240915503&amp;bidPbancOrd=000" TargetMode="External"/><Relationship Id="rId111" Type="http://schemas.openxmlformats.org/officeDocument/2006/relationships/hyperlink" Target="https://www.g2b.go.kr/link/PNPE027_01/single/?bidPbancNo=20240221311&amp;bidPbancOrd=000" TargetMode="External"/><Relationship Id="rId132" Type="http://schemas.openxmlformats.org/officeDocument/2006/relationships/hyperlink" Target="https://www.g2b.go.kr/link/PNPE027_01/single/?bidPbancNo=20240422477&amp;bidPbancOrd=001" TargetMode="External"/><Relationship Id="rId153" Type="http://schemas.openxmlformats.org/officeDocument/2006/relationships/hyperlink" Target="https://www.g2b.go.kr/link/PNPE027_01/single/?bidPbancNo=20240622291&amp;bidPbancOrd=000" TargetMode="External"/><Relationship Id="rId174" Type="http://schemas.openxmlformats.org/officeDocument/2006/relationships/table" Target="../tables/table8.xml"/><Relationship Id="rId15" Type="http://schemas.openxmlformats.org/officeDocument/2006/relationships/hyperlink" Target="https://www.g2b.go.kr/link/PNPE027_01/single/?bidPbancNo=20240510380&amp;bidPbancOrd=000" TargetMode="External"/><Relationship Id="rId36" Type="http://schemas.openxmlformats.org/officeDocument/2006/relationships/hyperlink" Target="https://www.g2b.go.kr/link/PNPE027_01/single/?bidPbancNo=20240722543&amp;bidPbancOrd=000" TargetMode="External"/><Relationship Id="rId57" Type="http://schemas.openxmlformats.org/officeDocument/2006/relationships/hyperlink" Target="https://www.g2b.go.kr/link/PNPE027_01/single/?bidPbancNo=20241220650&amp;bidPbancOrd=000" TargetMode="External"/><Relationship Id="rId106" Type="http://schemas.openxmlformats.org/officeDocument/2006/relationships/hyperlink" Target="https://www.g2b.go.kr/link/PNPE027_01/single/?bidPbancNo=20240130639&amp;bidPbancOrd=000" TargetMode="External"/><Relationship Id="rId127" Type="http://schemas.openxmlformats.org/officeDocument/2006/relationships/hyperlink" Target="https://www.g2b.go.kr/link/PNPE027_01/single/?bidPbancNo=20240402848&amp;bidPbancOrd=000" TargetMode="External"/><Relationship Id="rId10" Type="http://schemas.openxmlformats.org/officeDocument/2006/relationships/hyperlink" Target="https://www.g2b.go.kr/link/PNPE027_01/single/?bidPbancNo=20240327030&amp;bidPbancOrd=000" TargetMode="External"/><Relationship Id="rId31" Type="http://schemas.openxmlformats.org/officeDocument/2006/relationships/hyperlink" Target="https://www.g2b.go.kr/link/PNPE027_01/single/?bidPbancNo=20240625339&amp;bidPbancOrd=000" TargetMode="External"/><Relationship Id="rId52" Type="http://schemas.openxmlformats.org/officeDocument/2006/relationships/hyperlink" Target="https://www.g2b.go.kr/link/PNPE027_01/single/?bidPbancNo=20241036116&amp;bidPbancOrd=000" TargetMode="External"/><Relationship Id="rId73" Type="http://schemas.openxmlformats.org/officeDocument/2006/relationships/hyperlink" Target="https://www.g2b.go.kr/link/PNPE027_01/single/?bidPbancNo=20240526862&amp;bidPbancOrd=000" TargetMode="External"/><Relationship Id="rId78" Type="http://schemas.openxmlformats.org/officeDocument/2006/relationships/hyperlink" Target="https://www.g2b.go.kr/link/PNPE027_01/single/?bidPbancNo=20240608795&amp;bidPbancOrd=000" TargetMode="External"/><Relationship Id="rId94" Type="http://schemas.openxmlformats.org/officeDocument/2006/relationships/hyperlink" Target="https://www.g2b.go.kr/link/PNPE027_01/single/?bidPbancNo=20241009207&amp;bidPbancOrd=000" TargetMode="External"/><Relationship Id="rId99" Type="http://schemas.openxmlformats.org/officeDocument/2006/relationships/hyperlink" Target="https://www.g2b.go.kr/link/PNPE027_01/single/?bidPbancNo=20241024075&amp;bidPbancOrd=000" TargetMode="External"/><Relationship Id="rId101" Type="http://schemas.openxmlformats.org/officeDocument/2006/relationships/hyperlink" Target="https://www.g2b.go.kr/link/PNPE027_01/single/?bidPbancNo=20241125491&amp;bidPbancOrd=000" TargetMode="External"/><Relationship Id="rId122" Type="http://schemas.openxmlformats.org/officeDocument/2006/relationships/hyperlink" Target="https://www.g2b.go.kr/link/PNPE027_01/single/?bidPbancNo=20240320111&amp;bidPbancOrd=000" TargetMode="External"/><Relationship Id="rId143" Type="http://schemas.openxmlformats.org/officeDocument/2006/relationships/hyperlink" Target="https://www.g2b.go.kr/link/PNPE027_01/single/?bidPbancNo=20240529557&amp;bidPbancOrd=000" TargetMode="External"/><Relationship Id="rId148" Type="http://schemas.openxmlformats.org/officeDocument/2006/relationships/hyperlink" Target="https://www.g2b.go.kr/link/PNPE027_01/single/?bidPbancNo=20240537362&amp;bidPbancOrd=000" TargetMode="External"/><Relationship Id="rId164" Type="http://schemas.openxmlformats.org/officeDocument/2006/relationships/hyperlink" Target="https://www.g2b.go.kr/link/PNPE027_01/single/?bidPbancNo=20240804568&amp;bidPbancOrd=000" TargetMode="External"/><Relationship Id="rId169" Type="http://schemas.openxmlformats.org/officeDocument/2006/relationships/hyperlink" Target="https://www.g2b.go.kr/link/PNPE027_01/single/?bidPbancNo=20241006576&amp;bidPbancOrd=000" TargetMode="External"/><Relationship Id="rId4" Type="http://schemas.openxmlformats.org/officeDocument/2006/relationships/hyperlink" Target="https://www.g2b.go.kr/link/PNPE027_01/single/?bidPbancNo=20240133128&amp;bidPbancOrd=000" TargetMode="External"/><Relationship Id="rId9" Type="http://schemas.openxmlformats.org/officeDocument/2006/relationships/hyperlink" Target="https://www.g2b.go.kr/link/PNPE027_01/single/?bidPbancNo=20240326774&amp;bidPbancOrd=001" TargetMode="External"/><Relationship Id="rId26" Type="http://schemas.openxmlformats.org/officeDocument/2006/relationships/hyperlink" Target="https://www.g2b.go.kr/link/PNPE027_01/single/?bidPbancNo=20240618403&amp;bidPbancOrd=000" TargetMode="External"/><Relationship Id="rId47" Type="http://schemas.openxmlformats.org/officeDocument/2006/relationships/hyperlink" Target="https://www.g2b.go.kr/link/PNPE027_01/single/?bidPbancNo=20240927532&amp;bidPbancOrd=000" TargetMode="External"/><Relationship Id="rId68" Type="http://schemas.openxmlformats.org/officeDocument/2006/relationships/hyperlink" Target="https://www.g2b.go.kr/link/PNPE027_01/single/?bidPbancNo=20240425337&amp;bidPbancOrd=000" TargetMode="External"/><Relationship Id="rId89" Type="http://schemas.openxmlformats.org/officeDocument/2006/relationships/hyperlink" Target="https://www.g2b.go.kr:8101/ep/tbid/selectOthersBidDtl.do?tbidno=20240927473&amp;bidseq=00" TargetMode="External"/><Relationship Id="rId112" Type="http://schemas.openxmlformats.org/officeDocument/2006/relationships/hyperlink" Target="https://www.g2b.go.kr/link/PNPE027_01/single/?bidPbancNo=20240211798&amp;bidPbancOrd=002" TargetMode="External"/><Relationship Id="rId133" Type="http://schemas.openxmlformats.org/officeDocument/2006/relationships/hyperlink" Target="https://www.g2b.go.kr/link/PNPE027_01/single/?bidPbancNo=20240427767&amp;bidPbancOrd=000" TargetMode="External"/><Relationship Id="rId154" Type="http://schemas.openxmlformats.org/officeDocument/2006/relationships/hyperlink" Target="https://www.g2b.go.kr/link/PNPE027_01/single/?bidPbancNo=20240632157&amp;bidPbancOrd=000" TargetMode="External"/><Relationship Id="rId175" Type="http://schemas.openxmlformats.org/officeDocument/2006/relationships/table" Target="../tables/table9.xml"/><Relationship Id="rId16" Type="http://schemas.openxmlformats.org/officeDocument/2006/relationships/hyperlink" Target="https://www.g2b.go.kr/link/PNPE027_01/single/?bidPbancNo=20240514146&amp;bidPbancOrd=000" TargetMode="External"/><Relationship Id="rId37" Type="http://schemas.openxmlformats.org/officeDocument/2006/relationships/hyperlink" Target="https://www.g2b.go.kr/link/PNPE027_01/single/?bidPbancNo=20240725306&amp;bidPbancOrd=000" TargetMode="External"/><Relationship Id="rId58" Type="http://schemas.openxmlformats.org/officeDocument/2006/relationships/hyperlink" Target="https://www.g2b.go.kr/link/PNPE027_01/single/?bidPbancNo=20241229926&amp;bidPbancOrd=000" TargetMode="External"/><Relationship Id="rId79" Type="http://schemas.openxmlformats.org/officeDocument/2006/relationships/hyperlink" Target="https://www.g2b.go.kr/link/PNPE027_01/single/?bidPbancNo=20240622640&amp;bidPbancOrd=000" TargetMode="External"/><Relationship Id="rId102" Type="http://schemas.openxmlformats.org/officeDocument/2006/relationships/hyperlink" Target="https://www.g2b.go.kr/link/PNPE027_01/single/?bidPbancNo=20241229527&amp;bidPbancOrd=001" TargetMode="External"/><Relationship Id="rId123" Type="http://schemas.openxmlformats.org/officeDocument/2006/relationships/hyperlink" Target="https://www.g2b.go.kr/link/PNPE027_01/single/?bidPbancNo=20240329527&amp;bidPbancOrd=000" TargetMode="External"/><Relationship Id="rId144" Type="http://schemas.openxmlformats.org/officeDocument/2006/relationships/hyperlink" Target="https://www.g2b.go.kr/link/PNPE027_01/single/?bidPbancNo=20240531384&amp;bidPbancOrd=000" TargetMode="External"/><Relationship Id="rId90" Type="http://schemas.openxmlformats.org/officeDocument/2006/relationships/hyperlink" Target="https://www.g2b.go.kr/link/PNPE027_01/single/?bidPbancNo=20241001199&amp;bidPbancOrd=000" TargetMode="External"/><Relationship Id="rId165" Type="http://schemas.openxmlformats.org/officeDocument/2006/relationships/hyperlink" Target="https://www.g2b.go.kr/link/PNPE027_01/single/?bidPbancNo=20240812639&amp;bidPbancOrd=000" TargetMode="External"/><Relationship Id="rId27" Type="http://schemas.openxmlformats.org/officeDocument/2006/relationships/hyperlink" Target="https://www.g2b.go.kr/link/PNPE027_01/single/?bidPbancNo=20240620410&amp;bidPbancOrd=000" TargetMode="External"/><Relationship Id="rId48" Type="http://schemas.openxmlformats.org/officeDocument/2006/relationships/hyperlink" Target="https://www.g2b.go.kr/link/PNPE027_01/single/?bidPbancNo=20240927693&amp;bidPbancOrd=000" TargetMode="External"/><Relationship Id="rId69" Type="http://schemas.openxmlformats.org/officeDocument/2006/relationships/hyperlink" Target="https://www.g2b.go.kr/link/PNPE027_01/single/?bidPbancNo=20240444324&amp;bidPbancOrd=000" TargetMode="External"/><Relationship Id="rId113" Type="http://schemas.openxmlformats.org/officeDocument/2006/relationships/hyperlink" Target="https://www.g2b.go.kr/link/PNPE027_01/single/?bidPbancNo=20240211820&amp;bidPbancOrd=002" TargetMode="External"/><Relationship Id="rId134" Type="http://schemas.openxmlformats.org/officeDocument/2006/relationships/hyperlink" Target="https://www.g2b.go.kr/link/PNPE027_01/single/?bidPbancNo=20240429389&amp;bidPbancOrd=000" TargetMode="External"/><Relationship Id="rId80" Type="http://schemas.openxmlformats.org/officeDocument/2006/relationships/hyperlink" Target="https://www.g2b.go.kr/link/PNPE027_01/single/?bidPbancNo=20240705044&amp;bidPbancOrd=000" TargetMode="External"/><Relationship Id="rId155" Type="http://schemas.openxmlformats.org/officeDocument/2006/relationships/hyperlink" Target="https://www.g2b.go.kr/link/PNPE027_01/single/?bidPbancNo=20240639256&amp;bidPbancOrd=000" TargetMode="External"/><Relationship Id="rId17" Type="http://schemas.openxmlformats.org/officeDocument/2006/relationships/hyperlink" Target="https://www.g2b.go.kr/link/PNPE027_01/single/?bidPbancNo=20240523129&amp;bidPbancOrd=000" TargetMode="External"/><Relationship Id="rId38" Type="http://schemas.openxmlformats.org/officeDocument/2006/relationships/hyperlink" Target="https://www.g2b.go.kr/link/PNPE027_01/single/?bidPbancNo=20240726944&amp;bidPbancOrd=000" TargetMode="External"/><Relationship Id="rId59" Type="http://schemas.openxmlformats.org/officeDocument/2006/relationships/hyperlink" Target="https://www.g2b.go.kr/link/PNPE027_01/single/?bidPbancNo=20241239149&amp;bidPbancOrd=000" TargetMode="External"/><Relationship Id="rId103" Type="http://schemas.openxmlformats.org/officeDocument/2006/relationships/hyperlink" Target="https://www.g2b.go.kr/link/PNPE027_01/single/?bidPbancNo=20241240567&amp;bidPbancOrd=000" TargetMode="External"/><Relationship Id="rId124" Type="http://schemas.openxmlformats.org/officeDocument/2006/relationships/hyperlink" Target="https://www.g2b.go.kr/link/PNPE027_01/single/?bidPbancNo=20240340056&amp;bidPbancOrd=000" TargetMode="External"/><Relationship Id="rId70" Type="http://schemas.openxmlformats.org/officeDocument/2006/relationships/hyperlink" Target="https://www.g2b.go.kr/link/PNPE027_01/single/?bidPbancNo=20240515669&amp;bidPbancOrd=000" TargetMode="External"/><Relationship Id="rId91" Type="http://schemas.openxmlformats.org/officeDocument/2006/relationships/hyperlink" Target="https://www.g2b.go.kr/link/PNPE027_01/single/?bidPbancNo=20241001855&amp;bidPbancOrd=000" TargetMode="External"/><Relationship Id="rId145" Type="http://schemas.openxmlformats.org/officeDocument/2006/relationships/hyperlink" Target="https://www.g2b.go.kr/link/PNPE027_01/single/?bidPbancNo=20240532550&amp;bidPbancOrd=000" TargetMode="External"/><Relationship Id="rId166" Type="http://schemas.openxmlformats.org/officeDocument/2006/relationships/hyperlink" Target="https://www.g2b.go.kr/link/PNPE027_01/single/?bidPbancNo=20240813005&amp;bidPbancOrd=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9"/>
  <sheetViews>
    <sheetView showGridLines="0" workbookViewId="0">
      <pane ySplit="6" topLeftCell="A26" activePane="bottomLeft" state="frozen"/>
      <selection pane="bottomLeft" sqref="A1:G1"/>
    </sheetView>
  </sheetViews>
  <sheetFormatPr baseColWidth="10" defaultColWidth="8.83203125" defaultRowHeight="17"/>
  <cols>
    <col min="1" max="1" width="16" customWidth="1"/>
    <col min="2" max="2" width="52" customWidth="1"/>
    <col min="3" max="3" width="27" customWidth="1"/>
    <col min="4" max="4" width="17" customWidth="1"/>
    <col min="5" max="5" width="48" customWidth="1"/>
    <col min="6" max="6" width="15" customWidth="1"/>
    <col min="7" max="7" width="13" customWidth="1"/>
  </cols>
  <sheetData>
    <row r="1" spans="1:7" ht="28" customHeight="1">
      <c r="A1" s="18" t="s">
        <v>0</v>
      </c>
      <c r="B1" s="19"/>
      <c r="C1" s="19"/>
      <c r="D1" s="19"/>
      <c r="E1" s="19"/>
      <c r="F1" s="19"/>
      <c r="G1" s="19"/>
    </row>
    <row r="2" spans="1:7" ht="30" customHeight="1">
      <c r="A2" s="22" t="s">
        <v>1</v>
      </c>
      <c r="B2" s="19"/>
      <c r="C2" s="19"/>
      <c r="D2" s="19"/>
      <c r="E2" s="19"/>
      <c r="F2" s="19"/>
      <c r="G2" s="19"/>
    </row>
    <row r="3" spans="1:7" ht="25" customHeight="1">
      <c r="A3" s="1" t="s">
        <v>2</v>
      </c>
      <c r="B3" s="2">
        <v>477</v>
      </c>
    </row>
    <row r="4" spans="1:7" ht="25" customHeight="1">
      <c r="A4" s="1" t="s">
        <v>3</v>
      </c>
      <c r="B4" s="2">
        <v>10</v>
      </c>
    </row>
    <row r="5" spans="1:7" ht="25" customHeight="1">
      <c r="A5" s="1" t="s">
        <v>4</v>
      </c>
      <c r="B5" s="3">
        <v>30</v>
      </c>
    </row>
    <row r="6" spans="1:7" ht="24" customHeight="1">
      <c r="A6" s="21" t="s">
        <v>5</v>
      </c>
      <c r="B6" s="21"/>
      <c r="C6" s="21"/>
      <c r="D6" s="21"/>
      <c r="E6" s="21"/>
      <c r="F6" s="21"/>
      <c r="G6" s="21"/>
    </row>
    <row r="7" spans="1:7" ht="36" customHeight="1">
      <c r="A7" s="4" t="s">
        <v>6</v>
      </c>
      <c r="B7" s="4" t="s">
        <v>7</v>
      </c>
      <c r="C7" s="4" t="s">
        <v>8</v>
      </c>
      <c r="D7" s="4" t="s">
        <v>9</v>
      </c>
      <c r="E7" s="4" t="s">
        <v>10</v>
      </c>
      <c r="F7" s="4" t="s">
        <v>3</v>
      </c>
      <c r="G7" s="4" t="s">
        <v>11</v>
      </c>
    </row>
    <row r="8" spans="1:7" ht="30" customHeight="1">
      <c r="A8" s="5" t="s">
        <v>12</v>
      </c>
      <c r="B8" s="6">
        <f>COUNTIF('2024년'!$A$5:$A$63,$A8)</f>
        <v>59</v>
      </c>
      <c r="C8" s="6">
        <f>COUNTIF('2025년'!$A$5:$A$69,$A8)</f>
        <v>65</v>
      </c>
      <c r="D8" s="6">
        <f>COUNTIF('2026년(7월 기준)'!$A$5:$A$40,$A8)</f>
        <v>36</v>
      </c>
      <c r="E8" s="6">
        <f>SUM(B8:D8)</f>
        <v>160</v>
      </c>
      <c r="F8" s="6">
        <f>COUNTIFS('2024년'!$A$5:$A$63,$A8,'2024년'!$G$5:$G$63,"진행중")+COUNTIFS('2025년'!$A$5:$A$69,$A8,'2025년'!$G$5:$G$69,"진행중")+COUNTIFS('2026년(7월 기준)'!$A$5:$A$40,$A8,'2026년(7월 기준)'!$G$5:$G$40,"진행중")</f>
        <v>3</v>
      </c>
      <c r="G8" s="6">
        <f>SUMIF('2024년'!$A$5:$A$63,$A8,'2024년'!$D$5:$D$63)+SUMIF('2025년'!$A$5:$A$69,$A8,'2025년'!$D$5:$D$69)+SUMIF('2026년(7월 기준)'!$A$5:$A$40,$A8,'2026년(7월 기준)'!$D$5:$D$40)</f>
        <v>13252564067</v>
      </c>
    </row>
    <row r="9" spans="1:7" ht="30" customHeight="1">
      <c r="A9" s="5" t="s">
        <v>13</v>
      </c>
      <c r="B9" s="6">
        <f>COUNTIF('2024년'!$A$67:$A$110,$A9)</f>
        <v>44</v>
      </c>
      <c r="C9" s="6">
        <f>COUNTIF('2025년'!$A$73:$A$105,$A9)</f>
        <v>33</v>
      </c>
      <c r="D9" s="6">
        <f>COUNTIF('2026년(7월 기준)'!$A$44:$A$70,$A9)</f>
        <v>27</v>
      </c>
      <c r="E9" s="6">
        <f>SUM(B9:D9)</f>
        <v>104</v>
      </c>
      <c r="F9" s="6">
        <f>COUNTIFS('2024년'!$A$67:$A$110,$A9,'2024년'!$G$67:$G$110,"진행중")+COUNTIFS('2025년'!$A$73:$A$105,$A9,'2025년'!$G$73:$G$105,"진행중")+COUNTIFS('2026년(7월 기준)'!$A$44:$A$70,$A9,'2026년(7월 기준)'!$G$44:$G$70,"진행중")</f>
        <v>3</v>
      </c>
      <c r="G9" s="6">
        <f>SUMIF('2024년'!$A$67:$A$110,$A9,'2024년'!$D$67:$D$110)+SUMIF('2025년'!$A$73:$A$105,$A9,'2025년'!$D$73:$D$105)+SUMIF('2026년(7월 기준)'!$A$44:$A$70,$A9,'2026년(7월 기준)'!$D$44:$D$70)</f>
        <v>12289885056</v>
      </c>
    </row>
    <row r="10" spans="1:7" ht="30" customHeight="1">
      <c r="A10" s="5" t="s">
        <v>14</v>
      </c>
      <c r="B10" s="6">
        <f>COUNTIF('2024년'!$A$114:$A$182,$A10)</f>
        <v>69</v>
      </c>
      <c r="C10" s="6">
        <f>COUNTIF('2025년'!$A$109:$A$185,$A10)</f>
        <v>77</v>
      </c>
      <c r="D10" s="6">
        <f>COUNTIF('2026년(7월 기준)'!$A$74:$A$140,$A10)</f>
        <v>67</v>
      </c>
      <c r="E10" s="6">
        <f>SUM(B10:D10)</f>
        <v>213</v>
      </c>
      <c r="F10" s="6">
        <f>COUNTIFS('2024년'!$A$114:$A$182,$A10,'2024년'!$G$114:$G$182,"진행중")+COUNTIFS('2025년'!$A$109:$A$185,$A10,'2025년'!$G$109:$G$185,"진행중")+COUNTIFS('2026년(7월 기준)'!$A$74:$A$140,$A10,'2026년(7월 기준)'!$G$74:$G$140,"진행중")</f>
        <v>4</v>
      </c>
      <c r="G10" s="6">
        <f>SUMIF('2024년'!$A$114:$A$182,$A10,'2024년'!$D$114:$D$182)+SUMIF('2025년'!$A$109:$A$185,$A10,'2025년'!$D$109:$D$185)+SUMIF('2026년(7월 기준)'!$A$74:$A$140,$A10,'2026년(7월 기준)'!$D$74:$D$140)</f>
        <v>36723330054</v>
      </c>
    </row>
    <row r="12" spans="1:7" ht="24" customHeight="1">
      <c r="A12" s="21" t="s">
        <v>15</v>
      </c>
      <c r="B12" s="21"/>
      <c r="C12" s="21"/>
      <c r="D12" s="21"/>
      <c r="E12" s="21"/>
      <c r="F12" s="21"/>
      <c r="G12" s="21"/>
    </row>
    <row r="13" spans="1:7" ht="35" customHeight="1">
      <c r="A13" s="4" t="s">
        <v>16</v>
      </c>
      <c r="B13" s="4" t="s">
        <v>17</v>
      </c>
      <c r="C13" s="4" t="s">
        <v>18</v>
      </c>
      <c r="D13" s="4" t="s">
        <v>19</v>
      </c>
      <c r="E13" s="4" t="s">
        <v>20</v>
      </c>
      <c r="F13" s="4" t="s">
        <v>21</v>
      </c>
      <c r="G13" s="4" t="s">
        <v>22</v>
      </c>
    </row>
    <row r="14" spans="1:7" ht="54" customHeight="1">
      <c r="A14" s="5" t="s">
        <v>23</v>
      </c>
      <c r="B14" s="7" t="s">
        <v>24</v>
      </c>
      <c r="C14" s="5" t="s">
        <v>25</v>
      </c>
      <c r="D14" s="6">
        <v>60000000</v>
      </c>
      <c r="E14" s="5" t="s">
        <v>26</v>
      </c>
      <c r="F14" s="8">
        <v>45565.577777777777</v>
      </c>
      <c r="G14" s="5" t="s">
        <v>27</v>
      </c>
    </row>
    <row r="15" spans="1:7" ht="54" customHeight="1">
      <c r="A15" s="5" t="s">
        <v>28</v>
      </c>
      <c r="B15" s="7" t="s">
        <v>29</v>
      </c>
      <c r="C15" s="5" t="s">
        <v>30</v>
      </c>
      <c r="D15" s="6">
        <v>300000000</v>
      </c>
      <c r="E15" s="5" t="s">
        <v>31</v>
      </c>
      <c r="F15" s="8">
        <v>46206.703472222223</v>
      </c>
      <c r="G15" s="5" t="s">
        <v>27</v>
      </c>
    </row>
    <row r="16" spans="1:7" ht="54" customHeight="1">
      <c r="A16" s="5" t="s">
        <v>32</v>
      </c>
      <c r="B16" s="7" t="s">
        <v>33</v>
      </c>
      <c r="C16" s="5" t="s">
        <v>34</v>
      </c>
      <c r="D16" s="6">
        <v>51000000</v>
      </c>
      <c r="E16" s="5" t="s">
        <v>35</v>
      </c>
      <c r="F16" s="8">
        <v>46224.739583333343</v>
      </c>
      <c r="G16" s="9" t="s">
        <v>3</v>
      </c>
    </row>
    <row r="18" spans="1:7" ht="24" customHeight="1">
      <c r="A18" s="21" t="s">
        <v>36</v>
      </c>
      <c r="B18" s="21"/>
      <c r="C18" s="21"/>
      <c r="D18" s="21"/>
      <c r="E18" s="21"/>
      <c r="F18" s="21"/>
      <c r="G18" s="21"/>
    </row>
    <row r="19" spans="1:7" ht="35" customHeight="1">
      <c r="A19" s="4" t="s">
        <v>16</v>
      </c>
      <c r="B19" s="4" t="s">
        <v>17</v>
      </c>
      <c r="C19" s="4" t="s">
        <v>18</v>
      </c>
      <c r="D19" s="4" t="s">
        <v>19</v>
      </c>
      <c r="E19" s="4" t="s">
        <v>20</v>
      </c>
      <c r="F19" s="4" t="s">
        <v>21</v>
      </c>
      <c r="G19" s="4" t="s">
        <v>22</v>
      </c>
    </row>
    <row r="20" spans="1:7" ht="54" customHeight="1">
      <c r="A20" s="5" t="s">
        <v>23</v>
      </c>
      <c r="B20" s="7" t="s">
        <v>37</v>
      </c>
      <c r="C20" s="5" t="s">
        <v>38</v>
      </c>
      <c r="D20" s="6">
        <v>75000000</v>
      </c>
      <c r="E20" s="5" t="s">
        <v>39</v>
      </c>
      <c r="F20" s="8">
        <v>45518.630555555559</v>
      </c>
      <c r="G20" s="5" t="s">
        <v>27</v>
      </c>
    </row>
    <row r="21" spans="1:7" ht="54" customHeight="1">
      <c r="A21" s="5" t="s">
        <v>28</v>
      </c>
      <c r="B21" s="7" t="s">
        <v>40</v>
      </c>
      <c r="C21" s="5" t="s">
        <v>41</v>
      </c>
      <c r="D21" s="6">
        <v>45000000</v>
      </c>
      <c r="E21" s="5" t="s">
        <v>42</v>
      </c>
      <c r="F21" s="8">
        <v>45950.5625</v>
      </c>
      <c r="G21" s="5" t="s">
        <v>27</v>
      </c>
    </row>
    <row r="22" spans="1:7" ht="54" customHeight="1">
      <c r="A22" s="5" t="s">
        <v>32</v>
      </c>
      <c r="B22" s="7" t="s">
        <v>43</v>
      </c>
      <c r="C22" s="5" t="s">
        <v>44</v>
      </c>
      <c r="D22" s="6">
        <v>54700000</v>
      </c>
      <c r="E22" s="5" t="s">
        <v>45</v>
      </c>
      <c r="F22" s="8">
        <v>46217.436805555553</v>
      </c>
      <c r="G22" s="9" t="s">
        <v>3</v>
      </c>
    </row>
    <row r="24" spans="1:7" ht="24" customHeight="1">
      <c r="A24" s="21" t="s">
        <v>46</v>
      </c>
      <c r="B24" s="21"/>
      <c r="C24" s="21"/>
      <c r="D24" s="21"/>
      <c r="E24" s="21"/>
      <c r="F24" s="21"/>
      <c r="G24" s="21"/>
    </row>
    <row r="25" spans="1:7" ht="35" customHeight="1">
      <c r="A25" s="4" t="s">
        <v>16</v>
      </c>
      <c r="B25" s="4" t="s">
        <v>17</v>
      </c>
      <c r="C25" s="4" t="s">
        <v>18</v>
      </c>
      <c r="D25" s="4" t="s">
        <v>19</v>
      </c>
      <c r="E25" s="4" t="s">
        <v>20</v>
      </c>
      <c r="F25" s="4" t="s">
        <v>21</v>
      </c>
      <c r="G25" s="4" t="s">
        <v>22</v>
      </c>
    </row>
    <row r="26" spans="1:7" ht="54" customHeight="1">
      <c r="A26" s="5" t="s">
        <v>23</v>
      </c>
      <c r="B26" s="7" t="s">
        <v>47</v>
      </c>
      <c r="C26" s="5" t="s">
        <v>48</v>
      </c>
      <c r="D26" s="6">
        <v>138000000</v>
      </c>
      <c r="E26" s="5" t="s">
        <v>49</v>
      </c>
      <c r="F26" s="8">
        <v>46181.424305555563</v>
      </c>
      <c r="G26" s="5" t="s">
        <v>27</v>
      </c>
    </row>
    <row r="27" spans="1:7" ht="54" customHeight="1">
      <c r="A27" s="5" t="s">
        <v>28</v>
      </c>
      <c r="B27" s="7" t="s">
        <v>50</v>
      </c>
      <c r="C27" s="5" t="s">
        <v>51</v>
      </c>
      <c r="D27" s="6">
        <v>74000000</v>
      </c>
      <c r="E27" s="5" t="s">
        <v>52</v>
      </c>
      <c r="F27" s="8">
        <v>46133.614583333343</v>
      </c>
      <c r="G27" s="5" t="s">
        <v>27</v>
      </c>
    </row>
    <row r="28" spans="1:7" ht="54" customHeight="1">
      <c r="A28" s="5" t="s">
        <v>32</v>
      </c>
      <c r="B28" s="7" t="s">
        <v>53</v>
      </c>
      <c r="C28" s="5" t="s">
        <v>54</v>
      </c>
      <c r="D28" s="6">
        <v>201830000</v>
      </c>
      <c r="E28" s="5" t="s">
        <v>55</v>
      </c>
      <c r="F28" s="8">
        <v>46219.362500000003</v>
      </c>
      <c r="G28" s="9" t="s">
        <v>3</v>
      </c>
    </row>
    <row r="30" spans="1:7" ht="24" customHeight="1">
      <c r="A30" s="21" t="s">
        <v>56</v>
      </c>
      <c r="B30" s="21"/>
      <c r="C30" s="21"/>
      <c r="D30" s="21"/>
      <c r="E30" s="21"/>
      <c r="F30" s="21"/>
      <c r="G30" s="21"/>
    </row>
    <row r="31" spans="1:7" ht="35" customHeight="1">
      <c r="A31" s="4" t="s">
        <v>57</v>
      </c>
      <c r="B31" s="4" t="s">
        <v>58</v>
      </c>
      <c r="C31" s="4" t="s">
        <v>59</v>
      </c>
      <c r="D31" s="4" t="s">
        <v>60</v>
      </c>
      <c r="E31" s="4" t="s">
        <v>61</v>
      </c>
      <c r="F31" s="4" t="s">
        <v>62</v>
      </c>
      <c r="G31" s="4" t="s">
        <v>63</v>
      </c>
    </row>
    <row r="32" spans="1:7" ht="38" customHeight="1">
      <c r="A32" s="5" t="s">
        <v>64</v>
      </c>
      <c r="B32" s="5" t="s">
        <v>65</v>
      </c>
      <c r="C32" s="5" t="s">
        <v>66</v>
      </c>
      <c r="D32" s="5">
        <v>42</v>
      </c>
      <c r="E32" s="5">
        <v>42</v>
      </c>
      <c r="F32" s="5">
        <v>12</v>
      </c>
      <c r="G32" s="5" t="s">
        <v>67</v>
      </c>
    </row>
    <row r="33" spans="1:7" ht="38" customHeight="1">
      <c r="A33" s="5" t="s">
        <v>68</v>
      </c>
      <c r="B33" s="5" t="s">
        <v>65</v>
      </c>
      <c r="C33" s="5" t="s">
        <v>66</v>
      </c>
      <c r="D33" s="5">
        <v>40</v>
      </c>
      <c r="E33" s="5">
        <v>40</v>
      </c>
      <c r="F33" s="5">
        <v>13</v>
      </c>
      <c r="G33" s="5" t="s">
        <v>69</v>
      </c>
    </row>
    <row r="34" spans="1:7" ht="38" customHeight="1">
      <c r="A34" s="5" t="s">
        <v>70</v>
      </c>
      <c r="B34" s="5" t="s">
        <v>65</v>
      </c>
      <c r="C34" s="5" t="s">
        <v>66</v>
      </c>
      <c r="D34" s="5">
        <v>25</v>
      </c>
      <c r="E34" s="5">
        <v>25</v>
      </c>
      <c r="F34" s="5">
        <v>2</v>
      </c>
      <c r="G34" s="5" t="s">
        <v>71</v>
      </c>
    </row>
    <row r="35" spans="1:7" ht="38" customHeight="1">
      <c r="A35" s="5" t="s">
        <v>72</v>
      </c>
      <c r="B35" s="5" t="s">
        <v>65</v>
      </c>
      <c r="C35" s="5" t="s">
        <v>66</v>
      </c>
      <c r="D35" s="5">
        <v>20</v>
      </c>
      <c r="E35" s="5">
        <v>20</v>
      </c>
      <c r="F35" s="5">
        <v>3</v>
      </c>
      <c r="G35" s="5" t="s">
        <v>73</v>
      </c>
    </row>
    <row r="36" spans="1:7" ht="38" customHeight="1">
      <c r="A36" s="5" t="s">
        <v>74</v>
      </c>
      <c r="B36" s="5" t="s">
        <v>14</v>
      </c>
      <c r="C36" s="5" t="s">
        <v>66</v>
      </c>
      <c r="D36" s="5">
        <v>18</v>
      </c>
      <c r="E36" s="5">
        <v>18</v>
      </c>
      <c r="F36" s="5">
        <v>11</v>
      </c>
      <c r="G36" s="5" t="s">
        <v>75</v>
      </c>
    </row>
    <row r="38" spans="1:7">
      <c r="A38" s="20" t="s">
        <v>76</v>
      </c>
      <c r="B38" s="19"/>
      <c r="C38" s="19"/>
      <c r="D38" s="19"/>
      <c r="E38" s="19"/>
      <c r="F38" s="19"/>
      <c r="G38" s="19"/>
    </row>
    <row r="39" spans="1:7">
      <c r="A39" s="19"/>
      <c r="B39" s="19"/>
      <c r="C39" s="19"/>
      <c r="D39" s="19"/>
      <c r="E39" s="19"/>
      <c r="F39" s="19"/>
      <c r="G39" s="19"/>
    </row>
  </sheetData>
  <mergeCells count="8">
    <mergeCell ref="A1:G1"/>
    <mergeCell ref="A38:G39"/>
    <mergeCell ref="A18:G18"/>
    <mergeCell ref="A6:G6"/>
    <mergeCell ref="A12:G12"/>
    <mergeCell ref="A24:G24"/>
    <mergeCell ref="A2:G2"/>
    <mergeCell ref="A30:G30"/>
  </mergeCells>
  <phoneticPr fontId="10" type="noConversion"/>
  <hyperlinks>
    <hyperlink ref="B14" r:id="rId1" xr:uid="{00000000-0004-0000-0000-000000000000}"/>
    <hyperlink ref="B15" r:id="rId2" xr:uid="{00000000-0004-0000-0000-000001000000}"/>
    <hyperlink ref="B16" r:id="rId3" xr:uid="{00000000-0004-0000-0000-000002000000}"/>
    <hyperlink ref="B20" r:id="rId4" xr:uid="{00000000-0004-0000-0000-000003000000}"/>
    <hyperlink ref="B21" r:id="rId5" xr:uid="{00000000-0004-0000-0000-000004000000}"/>
    <hyperlink ref="B22" r:id="rId6" xr:uid="{00000000-0004-0000-0000-000005000000}"/>
    <hyperlink ref="B26" r:id="rId7" xr:uid="{00000000-0004-0000-0000-000006000000}"/>
    <hyperlink ref="B27" r:id="rId8" xr:uid="{00000000-0004-0000-0000-000007000000}"/>
    <hyperlink ref="B28" r:id="rId9" xr:uid="{00000000-0004-0000-0000-000008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6"/>
  <sheetViews>
    <sheetView showGridLines="0" workbookViewId="0">
      <pane ySplit="3" topLeftCell="A28" activePane="bottomLeft" state="frozen"/>
      <selection pane="bottomLeft" sqref="A1:H1"/>
    </sheetView>
  </sheetViews>
  <sheetFormatPr baseColWidth="10" defaultColWidth="8.83203125" defaultRowHeight="17"/>
  <cols>
    <col min="1" max="1" width="26" customWidth="1"/>
    <col min="2" max="2" width="29" customWidth="1"/>
    <col min="3" max="3" width="21" customWidth="1"/>
    <col min="4" max="4" width="31" customWidth="1"/>
    <col min="5" max="5" width="22" customWidth="1"/>
    <col min="6" max="6" width="40" customWidth="1"/>
    <col min="7" max="7" width="31" customWidth="1"/>
    <col min="8" max="8" width="28" customWidth="1"/>
  </cols>
  <sheetData>
    <row r="1" spans="1:8" ht="28" customHeight="1">
      <c r="A1" s="18" t="s">
        <v>77</v>
      </c>
      <c r="B1" s="19"/>
      <c r="C1" s="19"/>
      <c r="D1" s="19"/>
      <c r="E1" s="19"/>
      <c r="F1" s="19"/>
      <c r="G1" s="19"/>
      <c r="H1" s="19"/>
    </row>
    <row r="2" spans="1:8" ht="30" customHeight="1">
      <c r="A2" s="22" t="s">
        <v>78</v>
      </c>
      <c r="B2" s="19"/>
      <c r="C2" s="19"/>
      <c r="D2" s="19"/>
      <c r="E2" s="19"/>
      <c r="F2" s="19"/>
      <c r="G2" s="19"/>
      <c r="H2" s="19"/>
    </row>
    <row r="3" spans="1:8" ht="24" customHeight="1">
      <c r="A3" s="21" t="s">
        <v>79</v>
      </c>
      <c r="B3" s="21"/>
      <c r="C3" s="21"/>
      <c r="D3" s="21"/>
      <c r="E3" s="21"/>
      <c r="F3" s="21"/>
      <c r="G3" s="21"/>
      <c r="H3" s="21"/>
    </row>
    <row r="4" spans="1:8" ht="35" customHeight="1">
      <c r="A4" s="4" t="s">
        <v>80</v>
      </c>
      <c r="B4" s="4" t="s">
        <v>81</v>
      </c>
      <c r="C4" s="4" t="s">
        <v>82</v>
      </c>
      <c r="D4" s="4" t="s">
        <v>83</v>
      </c>
      <c r="E4" s="4" t="s">
        <v>84</v>
      </c>
      <c r="F4" s="4" t="s">
        <v>2</v>
      </c>
      <c r="G4" s="4" t="s">
        <v>85</v>
      </c>
    </row>
    <row r="5" spans="1:8" ht="60" customHeight="1">
      <c r="A5" s="5" t="s">
        <v>86</v>
      </c>
      <c r="B5" s="5" t="s">
        <v>87</v>
      </c>
      <c r="C5" s="5" t="s">
        <v>88</v>
      </c>
      <c r="D5" s="5" t="s">
        <v>89</v>
      </c>
      <c r="E5" s="5" t="s">
        <v>90</v>
      </c>
      <c r="F5" s="10">
        <v>160</v>
      </c>
      <c r="G5" s="6">
        <v>57450000</v>
      </c>
    </row>
    <row r="7" spans="1:8" ht="24" customHeight="1">
      <c r="A7" s="23" t="s">
        <v>91</v>
      </c>
      <c r="B7" s="23"/>
      <c r="C7" s="23"/>
      <c r="D7" s="23"/>
      <c r="E7" s="23"/>
      <c r="F7" s="23"/>
      <c r="G7" s="23"/>
      <c r="H7" s="23"/>
    </row>
    <row r="8" spans="1:8" ht="35" customHeight="1">
      <c r="A8" s="4" t="s">
        <v>92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</row>
    <row r="9" spans="1:8" ht="54" customHeight="1">
      <c r="A9" s="5" t="s">
        <v>99</v>
      </c>
      <c r="B9" s="5" t="s">
        <v>100</v>
      </c>
      <c r="C9" s="5" t="s">
        <v>101</v>
      </c>
      <c r="D9" s="5" t="s">
        <v>102</v>
      </c>
      <c r="E9" s="5" t="s">
        <v>103</v>
      </c>
      <c r="F9" s="5" t="s">
        <v>104</v>
      </c>
      <c r="G9" s="5"/>
    </row>
    <row r="10" spans="1:8" ht="54" customHeight="1">
      <c r="A10" s="5" t="s">
        <v>105</v>
      </c>
      <c r="B10" s="5" t="s">
        <v>106</v>
      </c>
      <c r="C10" s="5" t="s">
        <v>107</v>
      </c>
      <c r="D10" s="5" t="s">
        <v>108</v>
      </c>
      <c r="E10" s="5" t="s">
        <v>109</v>
      </c>
      <c r="F10" s="5" t="s">
        <v>110</v>
      </c>
      <c r="G10" s="5"/>
    </row>
    <row r="11" spans="1:8" ht="54" customHeight="1">
      <c r="A11" s="5" t="s">
        <v>111</v>
      </c>
      <c r="B11" s="5" t="s">
        <v>112</v>
      </c>
      <c r="C11" s="5" t="s">
        <v>113</v>
      </c>
      <c r="D11" s="5" t="s">
        <v>114</v>
      </c>
      <c r="E11" s="5" t="s">
        <v>115</v>
      </c>
      <c r="F11" s="5" t="s">
        <v>116</v>
      </c>
      <c r="G11" s="5"/>
    </row>
    <row r="12" spans="1:8" ht="54" customHeight="1">
      <c r="A12" s="5" t="s">
        <v>117</v>
      </c>
      <c r="B12" s="5" t="s">
        <v>118</v>
      </c>
      <c r="C12" s="5" t="s">
        <v>119</v>
      </c>
      <c r="D12" s="5" t="s">
        <v>120</v>
      </c>
      <c r="E12" s="5" t="s">
        <v>121</v>
      </c>
      <c r="F12" s="5" t="s">
        <v>110</v>
      </c>
      <c r="G12" s="5"/>
    </row>
    <row r="13" spans="1:8" ht="54" customHeight="1">
      <c r="A13" s="5" t="s">
        <v>122</v>
      </c>
      <c r="B13" s="5" t="s">
        <v>123</v>
      </c>
      <c r="C13" s="5" t="s">
        <v>124</v>
      </c>
      <c r="D13" s="5" t="s">
        <v>125</v>
      </c>
      <c r="E13" s="5" t="s">
        <v>126</v>
      </c>
      <c r="F13" s="5" t="s">
        <v>127</v>
      </c>
      <c r="G13" s="5"/>
    </row>
    <row r="14" spans="1:8" ht="54" customHeight="1">
      <c r="A14" s="5" t="s">
        <v>128</v>
      </c>
      <c r="B14" s="5" t="s">
        <v>129</v>
      </c>
      <c r="C14" s="5" t="s">
        <v>130</v>
      </c>
      <c r="D14" s="5" t="s">
        <v>131</v>
      </c>
      <c r="E14" s="5" t="s">
        <v>132</v>
      </c>
      <c r="F14" s="5" t="s">
        <v>110</v>
      </c>
      <c r="G14" s="5"/>
    </row>
    <row r="15" spans="1:8" ht="54" customHeight="1">
      <c r="A15" s="5" t="s">
        <v>133</v>
      </c>
      <c r="B15" s="5" t="s">
        <v>134</v>
      </c>
      <c r="C15" s="5" t="s">
        <v>135</v>
      </c>
      <c r="D15" s="5" t="s">
        <v>136</v>
      </c>
      <c r="E15" s="5" t="s">
        <v>137</v>
      </c>
      <c r="F15" s="5" t="s">
        <v>110</v>
      </c>
      <c r="G15" s="5"/>
    </row>
    <row r="17" spans="1:8" ht="24" customHeight="1">
      <c r="A17" s="23" t="s">
        <v>138</v>
      </c>
      <c r="B17" s="23"/>
      <c r="C17" s="23"/>
      <c r="D17" s="23"/>
      <c r="E17" s="23"/>
      <c r="F17" s="23"/>
      <c r="G17" s="23"/>
      <c r="H17" s="23"/>
    </row>
    <row r="18" spans="1:8" ht="35" customHeight="1">
      <c r="A18" s="4" t="s">
        <v>139</v>
      </c>
      <c r="B18" s="4" t="s">
        <v>140</v>
      </c>
      <c r="C18" s="4" t="s">
        <v>141</v>
      </c>
      <c r="D18" s="4" t="s">
        <v>142</v>
      </c>
      <c r="E18" s="4" t="s">
        <v>143</v>
      </c>
      <c r="F18" s="4" t="s">
        <v>144</v>
      </c>
      <c r="G18" s="4" t="s">
        <v>145</v>
      </c>
    </row>
    <row r="19" spans="1:8" ht="52" customHeight="1">
      <c r="A19" s="5" t="s">
        <v>146</v>
      </c>
      <c r="B19" s="5" t="s">
        <v>147</v>
      </c>
      <c r="C19" s="10">
        <v>19</v>
      </c>
      <c r="D19" s="11">
        <v>0.11874999999999999</v>
      </c>
      <c r="E19" s="5" t="s">
        <v>148</v>
      </c>
      <c r="F19" s="5" t="s">
        <v>149</v>
      </c>
      <c r="G19" s="5" t="s">
        <v>150</v>
      </c>
    </row>
    <row r="20" spans="1:8" ht="52" customHeight="1">
      <c r="A20" s="5" t="s">
        <v>151</v>
      </c>
      <c r="B20" s="5" t="s">
        <v>152</v>
      </c>
      <c r="C20" s="10">
        <v>2</v>
      </c>
      <c r="D20" s="11">
        <v>1.2500000000000001E-2</v>
      </c>
      <c r="E20" s="5" t="s">
        <v>148</v>
      </c>
      <c r="F20" s="5" t="s">
        <v>149</v>
      </c>
      <c r="G20" s="5" t="s">
        <v>150</v>
      </c>
    </row>
    <row r="21" spans="1:8" ht="52" customHeight="1">
      <c r="A21" s="5" t="s">
        <v>153</v>
      </c>
      <c r="B21" s="5" t="s">
        <v>154</v>
      </c>
      <c r="C21" s="10">
        <v>2</v>
      </c>
      <c r="D21" s="11">
        <v>1.2500000000000001E-2</v>
      </c>
      <c r="E21" s="5" t="s">
        <v>148</v>
      </c>
      <c r="F21" s="5" t="s">
        <v>149</v>
      </c>
      <c r="G21" s="5" t="s">
        <v>150</v>
      </c>
    </row>
    <row r="22" spans="1:8" ht="52" customHeight="1">
      <c r="A22" s="5" t="s">
        <v>155</v>
      </c>
      <c r="B22" s="5" t="s">
        <v>156</v>
      </c>
      <c r="C22" s="10">
        <v>1</v>
      </c>
      <c r="D22" s="11">
        <v>6.2500000000000003E-3</v>
      </c>
      <c r="E22" s="5" t="s">
        <v>148</v>
      </c>
      <c r="F22" s="5" t="s">
        <v>149</v>
      </c>
      <c r="G22" s="5" t="s">
        <v>150</v>
      </c>
    </row>
    <row r="24" spans="1:8" ht="24" customHeight="1">
      <c r="A24" s="23" t="s">
        <v>157</v>
      </c>
      <c r="B24" s="23"/>
      <c r="C24" s="23"/>
      <c r="D24" s="23"/>
      <c r="E24" s="23"/>
      <c r="F24" s="23"/>
      <c r="G24" s="23"/>
      <c r="H24" s="23"/>
    </row>
    <row r="25" spans="1:8" ht="35" customHeight="1">
      <c r="A25" s="4" t="s">
        <v>158</v>
      </c>
      <c r="B25" s="4" t="s">
        <v>159</v>
      </c>
      <c r="C25" s="4" t="s">
        <v>160</v>
      </c>
      <c r="D25" s="4" t="s">
        <v>161</v>
      </c>
      <c r="E25" s="4" t="s">
        <v>83</v>
      </c>
      <c r="F25" s="4" t="s">
        <v>162</v>
      </c>
      <c r="G25" s="4" t="s">
        <v>163</v>
      </c>
      <c r="H25" s="4" t="s">
        <v>98</v>
      </c>
    </row>
    <row r="26" spans="1:8" ht="54" customHeight="1">
      <c r="A26" s="5" t="s">
        <v>164</v>
      </c>
      <c r="B26" s="5" t="s">
        <v>165</v>
      </c>
      <c r="C26" s="5" t="s">
        <v>166</v>
      </c>
      <c r="D26" s="5" t="s">
        <v>167</v>
      </c>
      <c r="E26" s="5" t="s">
        <v>89</v>
      </c>
      <c r="F26" s="5" t="s">
        <v>168</v>
      </c>
      <c r="G26" s="5" t="s">
        <v>169</v>
      </c>
      <c r="H26" s="5"/>
    </row>
    <row r="27" spans="1:8" ht="54" customHeight="1">
      <c r="A27" s="5" t="s">
        <v>170</v>
      </c>
      <c r="B27" s="5" t="s">
        <v>171</v>
      </c>
      <c r="C27" s="5" t="s">
        <v>172</v>
      </c>
      <c r="D27" s="5" t="s">
        <v>173</v>
      </c>
      <c r="E27" s="5" t="s">
        <v>89</v>
      </c>
      <c r="F27" s="5" t="s">
        <v>174</v>
      </c>
      <c r="G27" s="5" t="s">
        <v>175</v>
      </c>
      <c r="H27" s="5"/>
    </row>
    <row r="28" spans="1:8" ht="54" customHeight="1">
      <c r="A28" s="5" t="s">
        <v>176</v>
      </c>
      <c r="B28" s="5" t="s">
        <v>177</v>
      </c>
      <c r="C28" s="5" t="s">
        <v>178</v>
      </c>
      <c r="D28" s="5" t="s">
        <v>179</v>
      </c>
      <c r="E28" s="5" t="s">
        <v>89</v>
      </c>
      <c r="F28" s="5" t="s">
        <v>180</v>
      </c>
      <c r="G28" s="5" t="s">
        <v>181</v>
      </c>
      <c r="H28" s="5"/>
    </row>
    <row r="29" spans="1:8" ht="54" customHeight="1">
      <c r="A29" s="5" t="s">
        <v>182</v>
      </c>
      <c r="B29" s="5" t="s">
        <v>183</v>
      </c>
      <c r="C29" s="5" t="s">
        <v>184</v>
      </c>
      <c r="D29" s="5" t="s">
        <v>185</v>
      </c>
      <c r="E29" s="5" t="s">
        <v>89</v>
      </c>
      <c r="F29" s="5" t="s">
        <v>186</v>
      </c>
      <c r="G29" s="5" t="s">
        <v>187</v>
      </c>
      <c r="H29" s="5"/>
    </row>
    <row r="30" spans="1:8" ht="54" customHeight="1">
      <c r="A30" s="5" t="s">
        <v>188</v>
      </c>
      <c r="B30" s="5" t="s">
        <v>189</v>
      </c>
      <c r="C30" s="5" t="s">
        <v>190</v>
      </c>
      <c r="D30" s="5" t="s">
        <v>191</v>
      </c>
      <c r="E30" s="5" t="s">
        <v>89</v>
      </c>
      <c r="F30" s="5" t="s">
        <v>192</v>
      </c>
      <c r="G30" s="5" t="s">
        <v>193</v>
      </c>
      <c r="H30" s="5"/>
    </row>
    <row r="31" spans="1:8" ht="54" customHeight="1">
      <c r="A31" s="5" t="s">
        <v>194</v>
      </c>
      <c r="B31" s="5" t="s">
        <v>195</v>
      </c>
      <c r="C31" s="5" t="s">
        <v>196</v>
      </c>
      <c r="D31" s="5" t="s">
        <v>197</v>
      </c>
      <c r="E31" s="5" t="s">
        <v>89</v>
      </c>
      <c r="F31" s="5" t="s">
        <v>198</v>
      </c>
      <c r="G31" s="5" t="s">
        <v>199</v>
      </c>
      <c r="H31" s="5"/>
    </row>
    <row r="32" spans="1:8" ht="54" customHeight="1">
      <c r="A32" s="5" t="s">
        <v>200</v>
      </c>
      <c r="B32" s="5" t="s">
        <v>201</v>
      </c>
      <c r="C32" s="5" t="s">
        <v>202</v>
      </c>
      <c r="D32" s="5" t="s">
        <v>203</v>
      </c>
      <c r="E32" s="5" t="s">
        <v>89</v>
      </c>
      <c r="F32" s="5" t="s">
        <v>204</v>
      </c>
      <c r="G32" s="5" t="s">
        <v>205</v>
      </c>
      <c r="H32" s="5"/>
    </row>
    <row r="33" spans="1:8" ht="54" customHeight="1">
      <c r="A33" s="5" t="s">
        <v>206</v>
      </c>
      <c r="B33" s="5" t="s">
        <v>207</v>
      </c>
      <c r="C33" s="5" t="s">
        <v>208</v>
      </c>
      <c r="D33" s="5" t="s">
        <v>209</v>
      </c>
      <c r="E33" s="5" t="s">
        <v>89</v>
      </c>
      <c r="F33" s="5" t="s">
        <v>210</v>
      </c>
      <c r="G33" s="5" t="s">
        <v>211</v>
      </c>
      <c r="H33" s="5"/>
    </row>
    <row r="36" spans="1:8" ht="24" customHeight="1">
      <c r="A36" s="21" t="s">
        <v>212</v>
      </c>
      <c r="B36" s="21"/>
      <c r="C36" s="21"/>
      <c r="D36" s="21"/>
      <c r="E36" s="21"/>
      <c r="F36" s="21"/>
      <c r="G36" s="21"/>
      <c r="H36" s="21"/>
    </row>
    <row r="37" spans="1:8" ht="35" customHeight="1">
      <c r="A37" s="4" t="s">
        <v>80</v>
      </c>
      <c r="B37" s="4" t="s">
        <v>81</v>
      </c>
      <c r="C37" s="4" t="s">
        <v>82</v>
      </c>
      <c r="D37" s="4" t="s">
        <v>83</v>
      </c>
      <c r="E37" s="4" t="s">
        <v>84</v>
      </c>
      <c r="F37" s="4" t="s">
        <v>2</v>
      </c>
      <c r="G37" s="4" t="s">
        <v>85</v>
      </c>
    </row>
    <row r="38" spans="1:8" ht="60" customHeight="1">
      <c r="A38" s="5" t="s">
        <v>213</v>
      </c>
      <c r="B38" s="5" t="s">
        <v>214</v>
      </c>
      <c r="C38" s="5" t="s">
        <v>215</v>
      </c>
      <c r="D38" s="5" t="s">
        <v>216</v>
      </c>
      <c r="E38" s="5" t="s">
        <v>217</v>
      </c>
      <c r="F38" s="10">
        <v>104</v>
      </c>
      <c r="G38" s="6">
        <v>70570000</v>
      </c>
    </row>
    <row r="40" spans="1:8" ht="24" customHeight="1">
      <c r="A40" s="23" t="s">
        <v>91</v>
      </c>
      <c r="B40" s="23"/>
      <c r="C40" s="23"/>
      <c r="D40" s="23"/>
      <c r="E40" s="23"/>
      <c r="F40" s="23"/>
      <c r="G40" s="23"/>
      <c r="H40" s="23"/>
    </row>
    <row r="41" spans="1:8" ht="35" customHeight="1">
      <c r="A41" s="4" t="s">
        <v>92</v>
      </c>
      <c r="B41" s="4" t="s">
        <v>93</v>
      </c>
      <c r="C41" s="4" t="s">
        <v>94</v>
      </c>
      <c r="D41" s="4" t="s">
        <v>95</v>
      </c>
      <c r="E41" s="4" t="s">
        <v>96</v>
      </c>
      <c r="F41" s="4" t="s">
        <v>97</v>
      </c>
      <c r="G41" s="4" t="s">
        <v>98</v>
      </c>
    </row>
    <row r="42" spans="1:8" ht="54" customHeight="1">
      <c r="A42" s="5" t="s">
        <v>99</v>
      </c>
      <c r="B42" s="5" t="s">
        <v>218</v>
      </c>
      <c r="C42" s="5" t="s">
        <v>101</v>
      </c>
      <c r="D42" s="5" t="s">
        <v>102</v>
      </c>
      <c r="E42" s="5" t="s">
        <v>103</v>
      </c>
      <c r="F42" s="5" t="s">
        <v>104</v>
      </c>
      <c r="G42" s="5"/>
    </row>
    <row r="43" spans="1:8" ht="54" customHeight="1">
      <c r="A43" s="5" t="s">
        <v>105</v>
      </c>
      <c r="B43" s="5" t="s">
        <v>219</v>
      </c>
      <c r="C43" s="5" t="s">
        <v>107</v>
      </c>
      <c r="D43" s="5" t="s">
        <v>108</v>
      </c>
      <c r="E43" s="5" t="s">
        <v>109</v>
      </c>
      <c r="F43" s="5" t="s">
        <v>110</v>
      </c>
      <c r="G43" s="5"/>
    </row>
    <row r="44" spans="1:8" ht="54" customHeight="1">
      <c r="A44" s="5" t="s">
        <v>111</v>
      </c>
      <c r="B44" s="5" t="s">
        <v>112</v>
      </c>
      <c r="C44" s="5" t="s">
        <v>113</v>
      </c>
      <c r="D44" s="5" t="s">
        <v>114</v>
      </c>
      <c r="E44" s="5" t="s">
        <v>115</v>
      </c>
      <c r="F44" s="5" t="s">
        <v>116</v>
      </c>
      <c r="G44" s="5"/>
    </row>
    <row r="45" spans="1:8" ht="54" customHeight="1">
      <c r="A45" s="5" t="s">
        <v>117</v>
      </c>
      <c r="B45" s="5" t="s">
        <v>220</v>
      </c>
      <c r="C45" s="5" t="s">
        <v>119</v>
      </c>
      <c r="D45" s="5" t="s">
        <v>120</v>
      </c>
      <c r="E45" s="5" t="s">
        <v>121</v>
      </c>
      <c r="F45" s="5" t="s">
        <v>110</v>
      </c>
      <c r="G45" s="5"/>
    </row>
    <row r="46" spans="1:8" ht="54" customHeight="1">
      <c r="A46" s="5" t="s">
        <v>122</v>
      </c>
      <c r="B46" s="5" t="s">
        <v>221</v>
      </c>
      <c r="C46" s="5" t="s">
        <v>124</v>
      </c>
      <c r="D46" s="5" t="s">
        <v>125</v>
      </c>
      <c r="E46" s="5" t="s">
        <v>126</v>
      </c>
      <c r="F46" s="5" t="s">
        <v>127</v>
      </c>
      <c r="G46" s="5"/>
    </row>
    <row r="47" spans="1:8" ht="54" customHeight="1">
      <c r="A47" s="5" t="s">
        <v>128</v>
      </c>
      <c r="B47" s="5" t="s">
        <v>222</v>
      </c>
      <c r="C47" s="5" t="s">
        <v>130</v>
      </c>
      <c r="D47" s="5" t="s">
        <v>131</v>
      </c>
      <c r="E47" s="5" t="s">
        <v>132</v>
      </c>
      <c r="F47" s="5" t="s">
        <v>110</v>
      </c>
      <c r="G47" s="5"/>
    </row>
    <row r="48" spans="1:8" ht="54" customHeight="1">
      <c r="A48" s="5" t="s">
        <v>223</v>
      </c>
      <c r="B48" s="5" t="s">
        <v>224</v>
      </c>
      <c r="C48" s="5" t="s">
        <v>135</v>
      </c>
      <c r="D48" s="5" t="s">
        <v>136</v>
      </c>
      <c r="E48" s="5" t="s">
        <v>225</v>
      </c>
      <c r="F48" s="5" t="s">
        <v>110</v>
      </c>
      <c r="G48" s="5"/>
    </row>
    <row r="50" spans="1:8" ht="24" customHeight="1">
      <c r="A50" s="23" t="s">
        <v>226</v>
      </c>
      <c r="B50" s="23"/>
      <c r="C50" s="23"/>
      <c r="D50" s="23"/>
      <c r="E50" s="23"/>
      <c r="F50" s="23"/>
      <c r="G50" s="23"/>
      <c r="H50" s="23"/>
    </row>
    <row r="51" spans="1:8" ht="35" customHeight="1">
      <c r="A51" s="4" t="s">
        <v>139</v>
      </c>
      <c r="B51" s="4" t="s">
        <v>140</v>
      </c>
      <c r="C51" s="4" t="s">
        <v>141</v>
      </c>
      <c r="D51" s="4" t="s">
        <v>142</v>
      </c>
      <c r="E51" s="4" t="s">
        <v>143</v>
      </c>
      <c r="F51" s="4" t="s">
        <v>144</v>
      </c>
      <c r="G51" s="4" t="s">
        <v>145</v>
      </c>
    </row>
    <row r="52" spans="1:8" ht="52" customHeight="1">
      <c r="A52" s="5" t="s">
        <v>146</v>
      </c>
      <c r="B52" s="5" t="s">
        <v>147</v>
      </c>
      <c r="C52" s="10">
        <v>41</v>
      </c>
      <c r="D52" s="11">
        <v>0.39423076923076922</v>
      </c>
      <c r="E52" s="5" t="s">
        <v>148</v>
      </c>
      <c r="F52" s="5" t="s">
        <v>149</v>
      </c>
      <c r="G52" s="5" t="s">
        <v>150</v>
      </c>
    </row>
    <row r="53" spans="1:8" ht="52" customHeight="1">
      <c r="A53" s="5" t="s">
        <v>151</v>
      </c>
      <c r="B53" s="5" t="s">
        <v>152</v>
      </c>
      <c r="C53" s="10">
        <v>6</v>
      </c>
      <c r="D53" s="11">
        <v>5.7692307692307702E-2</v>
      </c>
      <c r="E53" s="5" t="s">
        <v>148</v>
      </c>
      <c r="F53" s="5" t="s">
        <v>149</v>
      </c>
      <c r="G53" s="5" t="s">
        <v>150</v>
      </c>
    </row>
    <row r="54" spans="1:8" ht="52" customHeight="1">
      <c r="A54" s="5" t="s">
        <v>227</v>
      </c>
      <c r="B54" s="5" t="s">
        <v>228</v>
      </c>
      <c r="C54" s="10">
        <v>2</v>
      </c>
      <c r="D54" s="11">
        <v>1.9230769230769228E-2</v>
      </c>
      <c r="E54" s="5" t="s">
        <v>148</v>
      </c>
      <c r="F54" s="5" t="s">
        <v>149</v>
      </c>
      <c r="G54" s="5" t="s">
        <v>150</v>
      </c>
    </row>
    <row r="55" spans="1:8" ht="52" customHeight="1">
      <c r="A55" s="5" t="s">
        <v>229</v>
      </c>
      <c r="B55" s="5" t="s">
        <v>230</v>
      </c>
      <c r="C55" s="10">
        <v>2</v>
      </c>
      <c r="D55" s="11">
        <v>1.9230769230769228E-2</v>
      </c>
      <c r="E55" s="5" t="s">
        <v>148</v>
      </c>
      <c r="F55" s="5" t="s">
        <v>149</v>
      </c>
      <c r="G55" s="5" t="s">
        <v>150</v>
      </c>
    </row>
    <row r="56" spans="1:8" ht="52" customHeight="1">
      <c r="A56" s="5" t="s">
        <v>155</v>
      </c>
      <c r="B56" s="5" t="s">
        <v>156</v>
      </c>
      <c r="C56" s="10">
        <v>2</v>
      </c>
      <c r="D56" s="11">
        <v>1.9230769230769228E-2</v>
      </c>
      <c r="E56" s="5" t="s">
        <v>148</v>
      </c>
      <c r="F56" s="5" t="s">
        <v>149</v>
      </c>
      <c r="G56" s="5" t="s">
        <v>150</v>
      </c>
    </row>
    <row r="57" spans="1:8" ht="52" customHeight="1">
      <c r="A57" s="5" t="s">
        <v>231</v>
      </c>
      <c r="B57" s="5" t="s">
        <v>232</v>
      </c>
      <c r="C57" s="10">
        <v>1</v>
      </c>
      <c r="D57" s="11">
        <v>9.6153846153846159E-3</v>
      </c>
      <c r="E57" s="5" t="s">
        <v>233</v>
      </c>
      <c r="F57" s="5" t="s">
        <v>149</v>
      </c>
      <c r="G57" s="5" t="s">
        <v>150</v>
      </c>
    </row>
    <row r="58" spans="1:8" ht="52" customHeight="1">
      <c r="A58" s="5" t="s">
        <v>234</v>
      </c>
      <c r="B58" s="5" t="s">
        <v>235</v>
      </c>
      <c r="C58" s="10">
        <v>1</v>
      </c>
      <c r="D58" s="11">
        <v>9.6153846153846159E-3</v>
      </c>
      <c r="E58" s="5" t="s">
        <v>233</v>
      </c>
      <c r="F58" s="5" t="s">
        <v>149</v>
      </c>
      <c r="G58" s="5" t="s">
        <v>150</v>
      </c>
    </row>
    <row r="59" spans="1:8" ht="52" customHeight="1">
      <c r="A59" s="5" t="s">
        <v>236</v>
      </c>
      <c r="B59" s="5" t="s">
        <v>237</v>
      </c>
      <c r="C59" s="10">
        <v>1</v>
      </c>
      <c r="D59" s="11">
        <v>9.6153846153846159E-3</v>
      </c>
      <c r="E59" s="5" t="s">
        <v>233</v>
      </c>
      <c r="F59" s="5" t="s">
        <v>149</v>
      </c>
      <c r="G59" s="5" t="s">
        <v>150</v>
      </c>
    </row>
    <row r="61" spans="1:8" ht="24" customHeight="1">
      <c r="A61" s="23" t="s">
        <v>157</v>
      </c>
      <c r="B61" s="23"/>
      <c r="C61" s="23"/>
      <c r="D61" s="23"/>
      <c r="E61" s="23"/>
      <c r="F61" s="23"/>
      <c r="G61" s="23"/>
      <c r="H61" s="23"/>
    </row>
    <row r="62" spans="1:8" ht="35" customHeight="1">
      <c r="A62" s="4" t="s">
        <v>158</v>
      </c>
      <c r="B62" s="4" t="s">
        <v>159</v>
      </c>
      <c r="C62" s="4" t="s">
        <v>160</v>
      </c>
      <c r="D62" s="4" t="s">
        <v>161</v>
      </c>
      <c r="E62" s="4" t="s">
        <v>83</v>
      </c>
      <c r="F62" s="4" t="s">
        <v>162</v>
      </c>
      <c r="G62" s="4" t="s">
        <v>163</v>
      </c>
      <c r="H62" s="4" t="s">
        <v>98</v>
      </c>
    </row>
    <row r="63" spans="1:8" ht="54" customHeight="1">
      <c r="A63" s="5" t="s">
        <v>238</v>
      </c>
      <c r="B63" s="5" t="s">
        <v>239</v>
      </c>
      <c r="C63" s="5" t="s">
        <v>240</v>
      </c>
      <c r="D63" s="5" t="s">
        <v>241</v>
      </c>
      <c r="E63" s="5" t="s">
        <v>89</v>
      </c>
      <c r="F63" s="5" t="s">
        <v>242</v>
      </c>
      <c r="G63" s="5" t="s">
        <v>243</v>
      </c>
      <c r="H63" s="5"/>
    </row>
    <row r="64" spans="1:8" ht="54" customHeight="1">
      <c r="A64" s="5" t="s">
        <v>244</v>
      </c>
      <c r="B64" s="5" t="s">
        <v>245</v>
      </c>
      <c r="C64" s="5" t="s">
        <v>246</v>
      </c>
      <c r="D64" s="5" t="s">
        <v>247</v>
      </c>
      <c r="E64" s="5" t="s">
        <v>89</v>
      </c>
      <c r="F64" s="5" t="s">
        <v>248</v>
      </c>
      <c r="G64" s="5" t="s">
        <v>249</v>
      </c>
      <c r="H64" s="5"/>
    </row>
    <row r="65" spans="1:8" ht="54" customHeight="1">
      <c r="A65" s="5" t="s">
        <v>250</v>
      </c>
      <c r="B65" s="5" t="s">
        <v>251</v>
      </c>
      <c r="C65" s="5" t="s">
        <v>252</v>
      </c>
      <c r="D65" s="5" t="s">
        <v>253</v>
      </c>
      <c r="E65" s="5" t="s">
        <v>89</v>
      </c>
      <c r="F65" s="5" t="s">
        <v>254</v>
      </c>
      <c r="G65" s="5" t="s">
        <v>255</v>
      </c>
      <c r="H65" s="5"/>
    </row>
    <row r="66" spans="1:8" ht="54" customHeight="1">
      <c r="A66" s="5" t="s">
        <v>256</v>
      </c>
      <c r="B66" s="5" t="s">
        <v>257</v>
      </c>
      <c r="C66" s="5" t="s">
        <v>258</v>
      </c>
      <c r="D66" s="5" t="s">
        <v>259</v>
      </c>
      <c r="E66" s="5" t="s">
        <v>89</v>
      </c>
      <c r="F66" s="5" t="s">
        <v>260</v>
      </c>
      <c r="G66" s="5" t="s">
        <v>261</v>
      </c>
      <c r="H66" s="5"/>
    </row>
    <row r="67" spans="1:8" ht="54" customHeight="1">
      <c r="A67" s="5" t="s">
        <v>262</v>
      </c>
      <c r="B67" s="5" t="s">
        <v>263</v>
      </c>
      <c r="C67" s="5" t="s">
        <v>264</v>
      </c>
      <c r="D67" s="5" t="s">
        <v>265</v>
      </c>
      <c r="E67" s="5" t="s">
        <v>266</v>
      </c>
      <c r="F67" s="5" t="s">
        <v>267</v>
      </c>
      <c r="G67" s="5" t="s">
        <v>268</v>
      </c>
      <c r="H67" s="5"/>
    </row>
    <row r="68" spans="1:8" ht="54" customHeight="1">
      <c r="A68" s="5" t="s">
        <v>269</v>
      </c>
      <c r="B68" s="5" t="s">
        <v>270</v>
      </c>
      <c r="C68" s="5" t="s">
        <v>271</v>
      </c>
      <c r="D68" s="5" t="s">
        <v>272</v>
      </c>
      <c r="E68" s="5" t="s">
        <v>89</v>
      </c>
      <c r="F68" s="5" t="s">
        <v>273</v>
      </c>
      <c r="G68" s="5" t="s">
        <v>274</v>
      </c>
      <c r="H68" s="5"/>
    </row>
    <row r="69" spans="1:8" ht="54" customHeight="1">
      <c r="A69" s="5" t="s">
        <v>275</v>
      </c>
      <c r="B69" s="5" t="s">
        <v>276</v>
      </c>
      <c r="C69" s="5" t="s">
        <v>277</v>
      </c>
      <c r="D69" s="5" t="s">
        <v>278</v>
      </c>
      <c r="E69" s="5" t="s">
        <v>279</v>
      </c>
      <c r="F69" s="5" t="s">
        <v>280</v>
      </c>
      <c r="G69" s="5" t="s">
        <v>281</v>
      </c>
      <c r="H69" s="5"/>
    </row>
    <row r="70" spans="1:8" ht="54" customHeight="1">
      <c r="A70" s="5" t="s">
        <v>206</v>
      </c>
      <c r="B70" s="5" t="s">
        <v>282</v>
      </c>
      <c r="C70" s="5" t="s">
        <v>283</v>
      </c>
      <c r="D70" s="5" t="s">
        <v>284</v>
      </c>
      <c r="E70" s="5" t="s">
        <v>89</v>
      </c>
      <c r="F70" s="5" t="s">
        <v>285</v>
      </c>
      <c r="G70" s="5" t="s">
        <v>286</v>
      </c>
      <c r="H70" s="5"/>
    </row>
    <row r="73" spans="1:8" ht="24" customHeight="1">
      <c r="A73" s="21" t="s">
        <v>287</v>
      </c>
      <c r="B73" s="21"/>
      <c r="C73" s="21"/>
      <c r="D73" s="21"/>
      <c r="E73" s="21"/>
      <c r="F73" s="21"/>
      <c r="G73" s="21"/>
      <c r="H73" s="21"/>
    </row>
    <row r="74" spans="1:8" ht="35" customHeight="1">
      <c r="A74" s="4" t="s">
        <v>80</v>
      </c>
      <c r="B74" s="4" t="s">
        <v>81</v>
      </c>
      <c r="C74" s="4" t="s">
        <v>82</v>
      </c>
      <c r="D74" s="4" t="s">
        <v>83</v>
      </c>
      <c r="E74" s="4" t="s">
        <v>84</v>
      </c>
      <c r="F74" s="4" t="s">
        <v>2</v>
      </c>
      <c r="G74" s="4" t="s">
        <v>85</v>
      </c>
    </row>
    <row r="75" spans="1:8" ht="60" customHeight="1">
      <c r="A75" s="5" t="s">
        <v>288</v>
      </c>
      <c r="B75" s="5" t="s">
        <v>289</v>
      </c>
      <c r="C75" s="5" t="s">
        <v>290</v>
      </c>
      <c r="D75" s="5" t="s">
        <v>279</v>
      </c>
      <c r="E75" s="5" t="s">
        <v>291</v>
      </c>
      <c r="F75" s="10">
        <v>213</v>
      </c>
      <c r="G75" s="6">
        <v>124969662</v>
      </c>
    </row>
    <row r="77" spans="1:8" ht="24" customHeight="1">
      <c r="A77" s="23" t="s">
        <v>91</v>
      </c>
      <c r="B77" s="23"/>
      <c r="C77" s="23"/>
      <c r="D77" s="23"/>
      <c r="E77" s="23"/>
      <c r="F77" s="23"/>
      <c r="G77" s="23"/>
      <c r="H77" s="23"/>
    </row>
    <row r="78" spans="1:8" ht="35" customHeight="1">
      <c r="A78" s="4" t="s">
        <v>92</v>
      </c>
      <c r="B78" s="4" t="s">
        <v>93</v>
      </c>
      <c r="C78" s="4" t="s">
        <v>94</v>
      </c>
      <c r="D78" s="4" t="s">
        <v>95</v>
      </c>
      <c r="E78" s="4" t="s">
        <v>96</v>
      </c>
      <c r="F78" s="4" t="s">
        <v>97</v>
      </c>
      <c r="G78" s="4" t="s">
        <v>98</v>
      </c>
    </row>
    <row r="79" spans="1:8" ht="54" customHeight="1">
      <c r="A79" s="5" t="s">
        <v>99</v>
      </c>
      <c r="B79" s="5" t="s">
        <v>292</v>
      </c>
      <c r="C79" s="5" t="s">
        <v>101</v>
      </c>
      <c r="D79" s="5" t="s">
        <v>102</v>
      </c>
      <c r="E79" s="5" t="s">
        <v>103</v>
      </c>
      <c r="F79" s="5" t="s">
        <v>104</v>
      </c>
      <c r="G79" s="5"/>
    </row>
    <row r="80" spans="1:8" ht="54" customHeight="1">
      <c r="A80" s="5" t="s">
        <v>105</v>
      </c>
      <c r="B80" s="5" t="s">
        <v>293</v>
      </c>
      <c r="C80" s="5" t="s">
        <v>107</v>
      </c>
      <c r="D80" s="5" t="s">
        <v>108</v>
      </c>
      <c r="E80" s="5" t="s">
        <v>109</v>
      </c>
      <c r="F80" s="5" t="s">
        <v>110</v>
      </c>
      <c r="G80" s="5"/>
    </row>
    <row r="81" spans="1:8" ht="54" customHeight="1">
      <c r="A81" s="5" t="s">
        <v>111</v>
      </c>
      <c r="B81" s="5" t="s">
        <v>112</v>
      </c>
      <c r="C81" s="5" t="s">
        <v>113</v>
      </c>
      <c r="D81" s="5" t="s">
        <v>114</v>
      </c>
      <c r="E81" s="5" t="s">
        <v>115</v>
      </c>
      <c r="F81" s="5" t="s">
        <v>116</v>
      </c>
      <c r="G81" s="5"/>
    </row>
    <row r="82" spans="1:8" ht="54" customHeight="1">
      <c r="A82" s="5" t="s">
        <v>117</v>
      </c>
      <c r="B82" s="5" t="s">
        <v>294</v>
      </c>
      <c r="C82" s="5" t="s">
        <v>119</v>
      </c>
      <c r="D82" s="5" t="s">
        <v>120</v>
      </c>
      <c r="E82" s="5" t="s">
        <v>121</v>
      </c>
      <c r="F82" s="5" t="s">
        <v>110</v>
      </c>
      <c r="G82" s="5"/>
    </row>
    <row r="83" spans="1:8" ht="54" customHeight="1">
      <c r="A83" s="5" t="s">
        <v>122</v>
      </c>
      <c r="B83" s="5" t="s">
        <v>295</v>
      </c>
      <c r="C83" s="5" t="s">
        <v>124</v>
      </c>
      <c r="D83" s="5" t="s">
        <v>125</v>
      </c>
      <c r="E83" s="5" t="s">
        <v>126</v>
      </c>
      <c r="F83" s="5" t="s">
        <v>127</v>
      </c>
      <c r="G83" s="5"/>
    </row>
    <row r="84" spans="1:8" ht="54" customHeight="1">
      <c r="A84" s="5" t="s">
        <v>128</v>
      </c>
      <c r="B84" s="5" t="s">
        <v>296</v>
      </c>
      <c r="C84" s="5" t="s">
        <v>130</v>
      </c>
      <c r="D84" s="5" t="s">
        <v>131</v>
      </c>
      <c r="E84" s="5" t="s">
        <v>132</v>
      </c>
      <c r="F84" s="5" t="s">
        <v>110</v>
      </c>
      <c r="G84" s="5"/>
    </row>
    <row r="85" spans="1:8" ht="54" customHeight="1">
      <c r="A85" s="5" t="s">
        <v>297</v>
      </c>
      <c r="B85" s="5" t="s">
        <v>298</v>
      </c>
      <c r="C85" s="5" t="s">
        <v>135</v>
      </c>
      <c r="D85" s="5" t="s">
        <v>136</v>
      </c>
      <c r="E85" s="5" t="s">
        <v>299</v>
      </c>
      <c r="F85" s="5" t="s">
        <v>110</v>
      </c>
      <c r="G85" s="5"/>
    </row>
    <row r="87" spans="1:8" ht="24" customHeight="1">
      <c r="A87" s="23" t="s">
        <v>300</v>
      </c>
      <c r="B87" s="23"/>
      <c r="C87" s="23"/>
      <c r="D87" s="23"/>
      <c r="E87" s="23"/>
      <c r="F87" s="23"/>
      <c r="G87" s="23"/>
      <c r="H87" s="23"/>
    </row>
    <row r="88" spans="1:8" ht="35" customHeight="1">
      <c r="A88" s="4" t="s">
        <v>139</v>
      </c>
      <c r="B88" s="4" t="s">
        <v>140</v>
      </c>
      <c r="C88" s="4" t="s">
        <v>141</v>
      </c>
      <c r="D88" s="4" t="s">
        <v>142</v>
      </c>
      <c r="E88" s="4" t="s">
        <v>143</v>
      </c>
      <c r="F88" s="4" t="s">
        <v>144</v>
      </c>
      <c r="G88" s="4" t="s">
        <v>145</v>
      </c>
    </row>
    <row r="89" spans="1:8" ht="52" customHeight="1">
      <c r="A89" s="5" t="s">
        <v>146</v>
      </c>
      <c r="B89" s="5" t="s">
        <v>147</v>
      </c>
      <c r="C89" s="10">
        <v>15</v>
      </c>
      <c r="D89" s="11">
        <v>7.0422535211267609E-2</v>
      </c>
      <c r="E89" s="5" t="s">
        <v>148</v>
      </c>
      <c r="F89" s="5" t="s">
        <v>149</v>
      </c>
      <c r="G89" s="5" t="s">
        <v>150</v>
      </c>
    </row>
    <row r="90" spans="1:8" ht="52" customHeight="1">
      <c r="A90" s="5" t="s">
        <v>155</v>
      </c>
      <c r="B90" s="5" t="s">
        <v>156</v>
      </c>
      <c r="C90" s="10">
        <v>5</v>
      </c>
      <c r="D90" s="11">
        <v>2.3474178403755871E-2</v>
      </c>
      <c r="E90" s="5" t="s">
        <v>148</v>
      </c>
      <c r="F90" s="5" t="s">
        <v>149</v>
      </c>
      <c r="G90" s="5" t="s">
        <v>150</v>
      </c>
    </row>
    <row r="91" spans="1:8" ht="52" customHeight="1">
      <c r="A91" s="5" t="s">
        <v>301</v>
      </c>
      <c r="B91" s="5" t="s">
        <v>302</v>
      </c>
      <c r="C91" s="10">
        <v>2</v>
      </c>
      <c r="D91" s="11">
        <v>9.3896713615023476E-3</v>
      </c>
      <c r="E91" s="5" t="s">
        <v>233</v>
      </c>
      <c r="F91" s="5" t="s">
        <v>149</v>
      </c>
      <c r="G91" s="5" t="s">
        <v>150</v>
      </c>
    </row>
    <row r="92" spans="1:8" ht="52" customHeight="1">
      <c r="A92" s="5" t="s">
        <v>303</v>
      </c>
      <c r="B92" s="5" t="s">
        <v>304</v>
      </c>
      <c r="C92" s="10">
        <v>2</v>
      </c>
      <c r="D92" s="11">
        <v>9.3896713615023476E-3</v>
      </c>
      <c r="E92" s="5" t="s">
        <v>233</v>
      </c>
      <c r="F92" s="5" t="s">
        <v>149</v>
      </c>
      <c r="G92" s="5" t="s">
        <v>150</v>
      </c>
    </row>
    <row r="93" spans="1:8" ht="52" customHeight="1">
      <c r="A93" s="5" t="s">
        <v>151</v>
      </c>
      <c r="B93" s="5" t="s">
        <v>152</v>
      </c>
      <c r="C93" s="10">
        <v>2</v>
      </c>
      <c r="D93" s="11">
        <v>9.3896713615023476E-3</v>
      </c>
      <c r="E93" s="5" t="s">
        <v>148</v>
      </c>
      <c r="F93" s="5" t="s">
        <v>149</v>
      </c>
      <c r="G93" s="5" t="s">
        <v>150</v>
      </c>
    </row>
    <row r="94" spans="1:8" ht="52" customHeight="1">
      <c r="A94" s="5" t="s">
        <v>305</v>
      </c>
      <c r="B94" s="5" t="s">
        <v>306</v>
      </c>
      <c r="C94" s="10">
        <v>1</v>
      </c>
      <c r="D94" s="11">
        <v>4.6948356807511738E-3</v>
      </c>
      <c r="E94" s="5" t="s">
        <v>233</v>
      </c>
      <c r="F94" s="5" t="s">
        <v>149</v>
      </c>
      <c r="G94" s="5" t="s">
        <v>150</v>
      </c>
    </row>
    <row r="95" spans="1:8" ht="52" customHeight="1">
      <c r="A95" s="5" t="s">
        <v>236</v>
      </c>
      <c r="B95" s="5" t="s">
        <v>237</v>
      </c>
      <c r="C95" s="10">
        <v>1</v>
      </c>
      <c r="D95" s="11">
        <v>4.6948356807511738E-3</v>
      </c>
      <c r="E95" s="5" t="s">
        <v>233</v>
      </c>
      <c r="F95" s="5" t="s">
        <v>149</v>
      </c>
      <c r="G95" s="5" t="s">
        <v>150</v>
      </c>
    </row>
    <row r="97" spans="1:8" ht="24" customHeight="1">
      <c r="A97" s="23" t="s">
        <v>157</v>
      </c>
      <c r="B97" s="23"/>
      <c r="C97" s="23"/>
      <c r="D97" s="23"/>
      <c r="E97" s="23"/>
      <c r="F97" s="23"/>
      <c r="G97" s="23"/>
      <c r="H97" s="23"/>
    </row>
    <row r="98" spans="1:8" ht="35" customHeight="1">
      <c r="A98" s="4" t="s">
        <v>158</v>
      </c>
      <c r="B98" s="4" t="s">
        <v>159</v>
      </c>
      <c r="C98" s="4" t="s">
        <v>160</v>
      </c>
      <c r="D98" s="4" t="s">
        <v>161</v>
      </c>
      <c r="E98" s="4" t="s">
        <v>83</v>
      </c>
      <c r="F98" s="4" t="s">
        <v>162</v>
      </c>
      <c r="G98" s="4" t="s">
        <v>163</v>
      </c>
      <c r="H98" s="4" t="s">
        <v>98</v>
      </c>
    </row>
    <row r="99" spans="1:8" ht="54" customHeight="1">
      <c r="A99" s="5" t="s">
        <v>307</v>
      </c>
      <c r="B99" s="5" t="s">
        <v>308</v>
      </c>
      <c r="C99" s="5" t="s">
        <v>309</v>
      </c>
      <c r="D99" s="5" t="s">
        <v>310</v>
      </c>
      <c r="E99" s="5" t="s">
        <v>266</v>
      </c>
      <c r="F99" s="5" t="s">
        <v>311</v>
      </c>
      <c r="G99" s="5" t="s">
        <v>312</v>
      </c>
      <c r="H99" s="5"/>
    </row>
    <row r="100" spans="1:8" ht="54" customHeight="1">
      <c r="A100" s="5" t="s">
        <v>313</v>
      </c>
      <c r="B100" s="5" t="s">
        <v>314</v>
      </c>
      <c r="C100" s="5" t="s">
        <v>315</v>
      </c>
      <c r="D100" s="5" t="s">
        <v>316</v>
      </c>
      <c r="E100" s="5" t="s">
        <v>266</v>
      </c>
      <c r="F100" s="5" t="s">
        <v>317</v>
      </c>
      <c r="G100" s="5" t="s">
        <v>318</v>
      </c>
      <c r="H100" s="5"/>
    </row>
    <row r="101" spans="1:8" ht="54" customHeight="1">
      <c r="A101" s="5" t="s">
        <v>182</v>
      </c>
      <c r="B101" s="5" t="s">
        <v>319</v>
      </c>
      <c r="C101" s="5" t="s">
        <v>320</v>
      </c>
      <c r="D101" s="5" t="s">
        <v>321</v>
      </c>
      <c r="E101" s="5" t="s">
        <v>89</v>
      </c>
      <c r="F101" s="5" t="s">
        <v>322</v>
      </c>
      <c r="G101" s="5" t="s">
        <v>187</v>
      </c>
      <c r="H101" s="5"/>
    </row>
    <row r="102" spans="1:8" ht="54" customHeight="1">
      <c r="A102" s="5" t="s">
        <v>323</v>
      </c>
      <c r="B102" s="5" t="s">
        <v>324</v>
      </c>
      <c r="C102" s="5" t="s">
        <v>325</v>
      </c>
      <c r="D102" s="5" t="s">
        <v>326</v>
      </c>
      <c r="E102" s="5" t="s">
        <v>279</v>
      </c>
      <c r="F102" s="5" t="s">
        <v>327</v>
      </c>
      <c r="G102" s="5" t="s">
        <v>328</v>
      </c>
      <c r="H102" s="5"/>
    </row>
    <row r="103" spans="1:8" ht="54" customHeight="1">
      <c r="A103" s="5" t="s">
        <v>329</v>
      </c>
      <c r="B103" s="5" t="s">
        <v>330</v>
      </c>
      <c r="C103" s="5" t="s">
        <v>331</v>
      </c>
      <c r="D103" s="5" t="s">
        <v>332</v>
      </c>
      <c r="E103" s="5" t="s">
        <v>279</v>
      </c>
      <c r="F103" s="5" t="s">
        <v>333</v>
      </c>
      <c r="G103" s="5" t="s">
        <v>334</v>
      </c>
      <c r="H103" s="5"/>
    </row>
    <row r="104" spans="1:8" ht="54" customHeight="1">
      <c r="A104" s="5" t="s">
        <v>335</v>
      </c>
      <c r="B104" s="5" t="s">
        <v>336</v>
      </c>
      <c r="C104" s="5" t="s">
        <v>337</v>
      </c>
      <c r="D104" s="5" t="s">
        <v>338</v>
      </c>
      <c r="E104" s="5" t="s">
        <v>339</v>
      </c>
      <c r="F104" s="5" t="s">
        <v>340</v>
      </c>
      <c r="G104" s="5" t="s">
        <v>341</v>
      </c>
      <c r="H104" s="5"/>
    </row>
    <row r="105" spans="1:8" ht="54" customHeight="1">
      <c r="A105" s="5" t="s">
        <v>342</v>
      </c>
      <c r="B105" s="5" t="s">
        <v>343</v>
      </c>
      <c r="C105" s="5" t="s">
        <v>344</v>
      </c>
      <c r="D105" s="5" t="s">
        <v>345</v>
      </c>
      <c r="E105" s="5" t="s">
        <v>339</v>
      </c>
      <c r="F105" s="5" t="s">
        <v>346</v>
      </c>
      <c r="G105" s="5" t="s">
        <v>347</v>
      </c>
      <c r="H105" s="5"/>
    </row>
    <row r="106" spans="1:8" ht="54" customHeight="1">
      <c r="A106" s="5" t="s">
        <v>206</v>
      </c>
      <c r="B106" s="5" t="s">
        <v>348</v>
      </c>
      <c r="C106" s="5" t="s">
        <v>349</v>
      </c>
      <c r="D106" s="5" t="s">
        <v>350</v>
      </c>
      <c r="E106" s="5" t="s">
        <v>266</v>
      </c>
      <c r="F106" s="5" t="s">
        <v>351</v>
      </c>
      <c r="G106" s="5" t="s">
        <v>352</v>
      </c>
      <c r="H106" s="5"/>
    </row>
  </sheetData>
  <mergeCells count="14">
    <mergeCell ref="A97:H97"/>
    <mergeCell ref="A17:H17"/>
    <mergeCell ref="A2:H2"/>
    <mergeCell ref="A73:H73"/>
    <mergeCell ref="A40:H40"/>
    <mergeCell ref="A36:H36"/>
    <mergeCell ref="A1:H1"/>
    <mergeCell ref="A61:H61"/>
    <mergeCell ref="A50:H50"/>
    <mergeCell ref="A3:H3"/>
    <mergeCell ref="A77:H77"/>
    <mergeCell ref="A87:H87"/>
    <mergeCell ref="A7:H7"/>
    <mergeCell ref="A24:H24"/>
  </mergeCells>
  <phoneticPr fontId="10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437"/>
  <sheetViews>
    <sheetView showGridLines="0" tabSelected="1" workbookViewId="0">
      <pane ySplit="3" topLeftCell="A4" activePane="bottomLeft" state="frozen"/>
      <selection pane="bottomLeft" sqref="A1:H1"/>
    </sheetView>
  </sheetViews>
  <sheetFormatPr baseColWidth="10" defaultColWidth="8.83203125" defaultRowHeight="17" outlineLevelRow="1"/>
  <cols>
    <col min="1" max="1" width="27" customWidth="1"/>
    <col min="2" max="2" width="54.6640625" customWidth="1"/>
    <col min="3" max="3" width="30" customWidth="1"/>
    <col min="4" max="6" width="14" customWidth="1"/>
    <col min="7" max="7" width="27.6640625" customWidth="1"/>
    <col min="8" max="8" width="72.5" customWidth="1"/>
  </cols>
  <sheetData>
    <row r="1" spans="1:8" ht="28" customHeight="1">
      <c r="A1" s="18" t="s">
        <v>353</v>
      </c>
      <c r="B1" s="19"/>
      <c r="C1" s="19"/>
      <c r="D1" s="19"/>
      <c r="E1" s="19"/>
      <c r="F1" s="19"/>
      <c r="G1" s="19"/>
      <c r="H1" s="19"/>
    </row>
    <row r="2" spans="1:8" ht="30" customHeight="1">
      <c r="A2" s="22" t="s">
        <v>354</v>
      </c>
      <c r="B2" s="19"/>
      <c r="C2" s="19"/>
      <c r="D2" s="19"/>
      <c r="E2" s="19"/>
      <c r="F2" s="19"/>
      <c r="G2" s="19"/>
      <c r="H2" s="19"/>
    </row>
    <row r="3" spans="1:8" ht="38" customHeight="1">
      <c r="A3" s="4" t="s">
        <v>57</v>
      </c>
      <c r="B3" s="4" t="s">
        <v>58</v>
      </c>
      <c r="C3" s="4" t="s">
        <v>59</v>
      </c>
      <c r="D3" s="4" t="s">
        <v>60</v>
      </c>
      <c r="E3" s="4" t="s">
        <v>61</v>
      </c>
      <c r="F3" s="4" t="s">
        <v>62</v>
      </c>
      <c r="G3" s="4" t="s">
        <v>355</v>
      </c>
      <c r="H3" s="4" t="s">
        <v>63</v>
      </c>
    </row>
    <row r="4" spans="1:8" ht="58" customHeight="1" collapsed="1">
      <c r="A4" s="12" t="s">
        <v>64</v>
      </c>
      <c r="B4" s="13" t="s">
        <v>65</v>
      </c>
      <c r="C4" s="14" t="s">
        <v>66</v>
      </c>
      <c r="D4" s="15">
        <v>42</v>
      </c>
      <c r="E4" s="15">
        <v>42</v>
      </c>
      <c r="F4" s="15">
        <v>12</v>
      </c>
      <c r="G4" s="15">
        <v>30</v>
      </c>
      <c r="H4" s="13" t="s">
        <v>356</v>
      </c>
    </row>
    <row r="5" spans="1:8" ht="32" hidden="1" customHeight="1" outlineLevel="1">
      <c r="A5" s="4" t="s">
        <v>6</v>
      </c>
      <c r="B5" s="4" t="s">
        <v>17</v>
      </c>
      <c r="C5" s="4" t="s">
        <v>18</v>
      </c>
      <c r="D5" s="4" t="s">
        <v>19</v>
      </c>
      <c r="E5" s="4" t="s">
        <v>21</v>
      </c>
      <c r="F5" s="4" t="s">
        <v>357</v>
      </c>
      <c r="G5" s="4" t="s">
        <v>358</v>
      </c>
      <c r="H5" s="4" t="s">
        <v>359</v>
      </c>
    </row>
    <row r="6" spans="1:8" ht="30" hidden="1" customHeight="1" outlineLevel="1">
      <c r="A6" s="5" t="s">
        <v>13</v>
      </c>
      <c r="B6" s="5" t="s">
        <v>360</v>
      </c>
      <c r="C6" s="5" t="s">
        <v>361</v>
      </c>
      <c r="D6" s="6">
        <v>151450000</v>
      </c>
      <c r="E6" s="8">
        <v>46163.655555555553</v>
      </c>
      <c r="F6" s="5" t="s">
        <v>355</v>
      </c>
      <c r="G6" s="5" t="s">
        <v>362</v>
      </c>
      <c r="H6" s="7" t="s">
        <v>363</v>
      </c>
    </row>
    <row r="7" spans="1:8" ht="30" hidden="1" customHeight="1" outlineLevel="1">
      <c r="A7" s="5" t="s">
        <v>14</v>
      </c>
      <c r="B7" s="5" t="s">
        <v>364</v>
      </c>
      <c r="C7" s="5" t="s">
        <v>365</v>
      </c>
      <c r="D7" s="6">
        <v>600820000</v>
      </c>
      <c r="E7" s="8">
        <v>46139.445138888892</v>
      </c>
      <c r="F7" s="5" t="s">
        <v>355</v>
      </c>
      <c r="G7" s="5" t="s">
        <v>362</v>
      </c>
      <c r="H7" s="7" t="s">
        <v>366</v>
      </c>
    </row>
    <row r="8" spans="1:8" ht="30" hidden="1" customHeight="1" outlineLevel="1">
      <c r="A8" s="5" t="s">
        <v>14</v>
      </c>
      <c r="B8" s="5" t="s">
        <v>367</v>
      </c>
      <c r="C8" s="5" t="s">
        <v>368</v>
      </c>
      <c r="D8" s="6">
        <v>199447000</v>
      </c>
      <c r="E8" s="8">
        <v>46125.581250000003</v>
      </c>
      <c r="F8" s="5" t="s">
        <v>355</v>
      </c>
      <c r="G8" s="5" t="s">
        <v>362</v>
      </c>
      <c r="H8" s="7" t="s">
        <v>369</v>
      </c>
    </row>
    <row r="9" spans="1:8" ht="30" hidden="1" customHeight="1" outlineLevel="1">
      <c r="A9" s="5" t="s">
        <v>14</v>
      </c>
      <c r="B9" s="5" t="s">
        <v>370</v>
      </c>
      <c r="C9" s="5" t="s">
        <v>371</v>
      </c>
      <c r="D9" s="6">
        <v>175000000</v>
      </c>
      <c r="E9" s="8">
        <v>46111.349305555559</v>
      </c>
      <c r="F9" s="5" t="s">
        <v>355</v>
      </c>
      <c r="G9" s="5" t="s">
        <v>372</v>
      </c>
      <c r="H9" s="7" t="s">
        <v>373</v>
      </c>
    </row>
    <row r="10" spans="1:8" ht="30" hidden="1" customHeight="1" outlineLevel="1">
      <c r="A10" s="5" t="s">
        <v>14</v>
      </c>
      <c r="B10" s="5" t="s">
        <v>370</v>
      </c>
      <c r="C10" s="5" t="s">
        <v>371</v>
      </c>
      <c r="D10" s="6">
        <v>175000000</v>
      </c>
      <c r="E10" s="8">
        <v>46111.344444444447</v>
      </c>
      <c r="F10" s="5" t="s">
        <v>355</v>
      </c>
      <c r="G10" s="5" t="s">
        <v>372</v>
      </c>
      <c r="H10" s="7" t="s">
        <v>374</v>
      </c>
    </row>
    <row r="11" spans="1:8" ht="30" hidden="1" customHeight="1" outlineLevel="1">
      <c r="A11" s="5" t="s">
        <v>14</v>
      </c>
      <c r="B11" s="5" t="s">
        <v>370</v>
      </c>
      <c r="C11" s="5" t="s">
        <v>371</v>
      </c>
      <c r="D11" s="6">
        <v>175000000</v>
      </c>
      <c r="E11" s="8">
        <v>46111.343055555553</v>
      </c>
      <c r="F11" s="5" t="s">
        <v>355</v>
      </c>
      <c r="G11" s="5" t="s">
        <v>372</v>
      </c>
      <c r="H11" s="7" t="s">
        <v>375</v>
      </c>
    </row>
    <row r="12" spans="1:8" ht="30" hidden="1" customHeight="1" outlineLevel="1">
      <c r="A12" s="5" t="s">
        <v>14</v>
      </c>
      <c r="B12" s="5" t="s">
        <v>370</v>
      </c>
      <c r="C12" s="5" t="s">
        <v>371</v>
      </c>
      <c r="D12" s="6">
        <v>175000000</v>
      </c>
      <c r="E12" s="8">
        <v>46111.341666666667</v>
      </c>
      <c r="F12" s="5" t="s">
        <v>355</v>
      </c>
      <c r="G12" s="5" t="s">
        <v>372</v>
      </c>
      <c r="H12" s="7" t="s">
        <v>376</v>
      </c>
    </row>
    <row r="13" spans="1:8" ht="30" hidden="1" customHeight="1" outlineLevel="1">
      <c r="A13" s="5" t="s">
        <v>14</v>
      </c>
      <c r="B13" s="5" t="s">
        <v>377</v>
      </c>
      <c r="C13" s="5" t="s">
        <v>368</v>
      </c>
      <c r="D13" s="6">
        <v>600000000</v>
      </c>
      <c r="E13" s="8">
        <v>46105.602083333331</v>
      </c>
      <c r="F13" s="5" t="s">
        <v>355</v>
      </c>
      <c r="G13" s="5" t="s">
        <v>372</v>
      </c>
      <c r="H13" s="7" t="s">
        <v>378</v>
      </c>
    </row>
    <row r="14" spans="1:8" ht="30" hidden="1" customHeight="1" outlineLevel="1">
      <c r="A14" s="5" t="s">
        <v>14</v>
      </c>
      <c r="B14" s="5" t="s">
        <v>379</v>
      </c>
      <c r="C14" s="5" t="s">
        <v>380</v>
      </c>
      <c r="D14" s="6">
        <v>220000000</v>
      </c>
      <c r="E14" s="8">
        <v>46105.447916666657</v>
      </c>
      <c r="F14" s="5" t="s">
        <v>62</v>
      </c>
      <c r="G14" s="5" t="s">
        <v>381</v>
      </c>
      <c r="H14" s="7" t="s">
        <v>382</v>
      </c>
    </row>
    <row r="15" spans="1:8" ht="30" hidden="1" customHeight="1" outlineLevel="1">
      <c r="A15" s="5" t="s">
        <v>14</v>
      </c>
      <c r="B15" s="5" t="s">
        <v>383</v>
      </c>
      <c r="C15" s="5" t="s">
        <v>380</v>
      </c>
      <c r="D15" s="6">
        <v>300000000</v>
      </c>
      <c r="E15" s="8">
        <v>46105.442361111112</v>
      </c>
      <c r="F15" s="5" t="s">
        <v>62</v>
      </c>
      <c r="G15" s="5" t="s">
        <v>372</v>
      </c>
      <c r="H15" s="7" t="s">
        <v>384</v>
      </c>
    </row>
    <row r="16" spans="1:8" ht="30" hidden="1" customHeight="1" outlineLevel="1">
      <c r="A16" s="5" t="s">
        <v>12</v>
      </c>
      <c r="B16" s="5" t="s">
        <v>385</v>
      </c>
      <c r="C16" s="5" t="s">
        <v>48</v>
      </c>
      <c r="D16" s="6">
        <v>120000000</v>
      </c>
      <c r="E16" s="8">
        <v>46098.436111111107</v>
      </c>
      <c r="F16" s="5" t="s">
        <v>355</v>
      </c>
      <c r="G16" s="5" t="s">
        <v>372</v>
      </c>
      <c r="H16" s="7" t="s">
        <v>386</v>
      </c>
    </row>
    <row r="17" spans="1:8" ht="30" hidden="1" customHeight="1" outlineLevel="1">
      <c r="A17" s="5" t="s">
        <v>14</v>
      </c>
      <c r="B17" s="5" t="s">
        <v>387</v>
      </c>
      <c r="C17" s="5" t="s">
        <v>388</v>
      </c>
      <c r="D17" s="6">
        <v>180000000</v>
      </c>
      <c r="E17" s="8">
        <v>46055.579861111109</v>
      </c>
      <c r="F17" s="5" t="s">
        <v>62</v>
      </c>
      <c r="G17" s="5" t="s">
        <v>372</v>
      </c>
      <c r="H17" s="7" t="s">
        <v>389</v>
      </c>
    </row>
    <row r="18" spans="1:8" ht="30" hidden="1" customHeight="1" outlineLevel="1">
      <c r="A18" s="5" t="s">
        <v>14</v>
      </c>
      <c r="B18" s="5" t="s">
        <v>390</v>
      </c>
      <c r="C18" s="5" t="s">
        <v>388</v>
      </c>
      <c r="D18" s="6">
        <v>180000000</v>
      </c>
      <c r="E18" s="8">
        <v>46055.572916666657</v>
      </c>
      <c r="F18" s="5" t="s">
        <v>355</v>
      </c>
      <c r="G18" s="5" t="s">
        <v>372</v>
      </c>
      <c r="H18" s="7" t="s">
        <v>391</v>
      </c>
    </row>
    <row r="19" spans="1:8" ht="30" hidden="1" customHeight="1" outlineLevel="1">
      <c r="A19" s="5" t="s">
        <v>14</v>
      </c>
      <c r="B19" s="5" t="s">
        <v>392</v>
      </c>
      <c r="C19" s="5" t="s">
        <v>393</v>
      </c>
      <c r="D19" s="6">
        <v>75000000</v>
      </c>
      <c r="E19" s="8">
        <v>45999.602777777778</v>
      </c>
      <c r="F19" s="5" t="s">
        <v>355</v>
      </c>
      <c r="G19" s="5" t="s">
        <v>372</v>
      </c>
      <c r="H19" s="7" t="s">
        <v>394</v>
      </c>
    </row>
    <row r="20" spans="1:8" ht="30" hidden="1" customHeight="1" outlineLevel="1">
      <c r="A20" s="5" t="s">
        <v>14</v>
      </c>
      <c r="B20" s="5" t="s">
        <v>395</v>
      </c>
      <c r="C20" s="5" t="s">
        <v>396</v>
      </c>
      <c r="D20" s="6">
        <v>700000000</v>
      </c>
      <c r="E20" s="8">
        <v>45824.792361111111</v>
      </c>
      <c r="F20" s="5" t="s">
        <v>62</v>
      </c>
      <c r="G20" s="5" t="s">
        <v>372</v>
      </c>
      <c r="H20" s="7" t="s">
        <v>397</v>
      </c>
    </row>
    <row r="21" spans="1:8" ht="30" hidden="1" customHeight="1" outlineLevel="1">
      <c r="A21" s="5" t="s">
        <v>14</v>
      </c>
      <c r="B21" s="5" t="s">
        <v>398</v>
      </c>
      <c r="C21" s="5" t="s">
        <v>399</v>
      </c>
      <c r="D21" s="6">
        <v>110000000</v>
      </c>
      <c r="E21" s="8">
        <v>45812.573611111111</v>
      </c>
      <c r="F21" s="5" t="s">
        <v>355</v>
      </c>
      <c r="G21" s="5" t="s">
        <v>372</v>
      </c>
      <c r="H21" s="7" t="s">
        <v>400</v>
      </c>
    </row>
    <row r="22" spans="1:8" ht="30" hidden="1" customHeight="1" outlineLevel="1">
      <c r="A22" s="5" t="s">
        <v>14</v>
      </c>
      <c r="B22" s="5" t="s">
        <v>401</v>
      </c>
      <c r="C22" s="5" t="s">
        <v>402</v>
      </c>
      <c r="D22" s="6">
        <v>150000000</v>
      </c>
      <c r="E22" s="8">
        <v>45803.455555555563</v>
      </c>
      <c r="F22" s="5" t="s">
        <v>62</v>
      </c>
      <c r="G22" s="5" t="s">
        <v>372</v>
      </c>
      <c r="H22" s="7" t="s">
        <v>403</v>
      </c>
    </row>
    <row r="23" spans="1:8" ht="30" hidden="1" customHeight="1" outlineLevel="1">
      <c r="A23" s="5" t="s">
        <v>14</v>
      </c>
      <c r="B23" s="5" t="s">
        <v>404</v>
      </c>
      <c r="C23" s="5" t="s">
        <v>365</v>
      </c>
      <c r="D23" s="6">
        <v>396000000</v>
      </c>
      <c r="E23" s="8">
        <v>45775.44027777778</v>
      </c>
      <c r="F23" s="5" t="s">
        <v>355</v>
      </c>
      <c r="G23" s="5" t="s">
        <v>372</v>
      </c>
      <c r="H23" s="7" t="s">
        <v>405</v>
      </c>
    </row>
    <row r="24" spans="1:8" ht="30" hidden="1" customHeight="1" outlineLevel="1">
      <c r="A24" s="5" t="s">
        <v>12</v>
      </c>
      <c r="B24" s="5" t="s">
        <v>406</v>
      </c>
      <c r="C24" s="5" t="s">
        <v>48</v>
      </c>
      <c r="D24" s="6">
        <v>150000000</v>
      </c>
      <c r="E24" s="8">
        <v>45771.788888888892</v>
      </c>
      <c r="F24" s="5" t="s">
        <v>355</v>
      </c>
      <c r="G24" s="5" t="s">
        <v>372</v>
      </c>
      <c r="H24" s="7" t="s">
        <v>407</v>
      </c>
    </row>
    <row r="25" spans="1:8" ht="30" hidden="1" customHeight="1" outlineLevel="1">
      <c r="A25" s="5" t="s">
        <v>14</v>
      </c>
      <c r="B25" s="5" t="s">
        <v>408</v>
      </c>
      <c r="C25" s="5" t="s">
        <v>409</v>
      </c>
      <c r="D25" s="6">
        <v>199901000</v>
      </c>
      <c r="E25" s="8">
        <v>45768.42083333333</v>
      </c>
      <c r="F25" s="5" t="s">
        <v>355</v>
      </c>
      <c r="G25" s="5" t="s">
        <v>372</v>
      </c>
      <c r="H25" s="7" t="s">
        <v>410</v>
      </c>
    </row>
    <row r="26" spans="1:8" ht="30" hidden="1" customHeight="1" outlineLevel="1">
      <c r="A26" s="5" t="s">
        <v>14</v>
      </c>
      <c r="B26" s="5" t="s">
        <v>411</v>
      </c>
      <c r="C26" s="5" t="s">
        <v>412</v>
      </c>
      <c r="D26" s="6">
        <v>250000000</v>
      </c>
      <c r="E26" s="8">
        <v>45763.818749999999</v>
      </c>
      <c r="F26" s="5" t="s">
        <v>355</v>
      </c>
      <c r="G26" s="5" t="s">
        <v>372</v>
      </c>
      <c r="H26" s="7" t="s">
        <v>413</v>
      </c>
    </row>
    <row r="27" spans="1:8" ht="30" hidden="1" customHeight="1" outlineLevel="1">
      <c r="A27" s="5" t="s">
        <v>14</v>
      </c>
      <c r="B27" s="5" t="s">
        <v>414</v>
      </c>
      <c r="C27" s="5" t="s">
        <v>415</v>
      </c>
      <c r="D27" s="6">
        <v>483000000</v>
      </c>
      <c r="E27" s="8">
        <v>45743.609027777777</v>
      </c>
      <c r="F27" s="5" t="s">
        <v>355</v>
      </c>
      <c r="G27" s="5" t="s">
        <v>372</v>
      </c>
      <c r="H27" s="7" t="s">
        <v>416</v>
      </c>
    </row>
    <row r="28" spans="1:8" ht="30" hidden="1" customHeight="1" outlineLevel="1">
      <c r="A28" s="5" t="s">
        <v>13</v>
      </c>
      <c r="B28" s="5" t="s">
        <v>417</v>
      </c>
      <c r="C28" s="5" t="s">
        <v>418</v>
      </c>
      <c r="D28" s="6">
        <v>20000000</v>
      </c>
      <c r="E28" s="8">
        <v>45722.736805555563</v>
      </c>
      <c r="F28" s="5" t="s">
        <v>62</v>
      </c>
      <c r="G28" s="5" t="s">
        <v>372</v>
      </c>
      <c r="H28" s="7" t="s">
        <v>419</v>
      </c>
    </row>
    <row r="29" spans="1:8" ht="30" hidden="1" customHeight="1" outlineLevel="1">
      <c r="A29" s="5" t="s">
        <v>14</v>
      </c>
      <c r="B29" s="5" t="s">
        <v>420</v>
      </c>
      <c r="C29" s="5" t="s">
        <v>421</v>
      </c>
      <c r="D29" s="6">
        <v>249755840</v>
      </c>
      <c r="E29" s="8">
        <v>45702.660416666673</v>
      </c>
      <c r="F29" s="5" t="s">
        <v>355</v>
      </c>
      <c r="G29" s="5" t="s">
        <v>422</v>
      </c>
      <c r="H29" s="7" t="s">
        <v>423</v>
      </c>
    </row>
    <row r="30" spans="1:8" ht="30" hidden="1" customHeight="1" outlineLevel="1">
      <c r="A30" s="5" t="s">
        <v>14</v>
      </c>
      <c r="B30" s="5" t="s">
        <v>424</v>
      </c>
      <c r="C30" s="5" t="s">
        <v>425</v>
      </c>
      <c r="D30" s="6">
        <v>1600000000</v>
      </c>
      <c r="E30" s="8">
        <v>45698.765972222223</v>
      </c>
      <c r="F30" s="5" t="s">
        <v>62</v>
      </c>
      <c r="G30" s="5" t="s">
        <v>422</v>
      </c>
      <c r="H30" s="7" t="s">
        <v>426</v>
      </c>
    </row>
    <row r="31" spans="1:8" ht="30" hidden="1" customHeight="1" outlineLevel="1">
      <c r="A31" s="5" t="s">
        <v>12</v>
      </c>
      <c r="B31" s="5" t="s">
        <v>427</v>
      </c>
      <c r="C31" s="5" t="s">
        <v>428</v>
      </c>
      <c r="D31" s="6">
        <v>221585600</v>
      </c>
      <c r="E31" s="8">
        <v>45698.609027777777</v>
      </c>
      <c r="F31" s="5" t="s">
        <v>355</v>
      </c>
      <c r="G31" s="5" t="s">
        <v>422</v>
      </c>
      <c r="H31" s="7" t="s">
        <v>429</v>
      </c>
    </row>
    <row r="32" spans="1:8" ht="30" hidden="1" customHeight="1" outlineLevel="1">
      <c r="A32" s="5" t="s">
        <v>14</v>
      </c>
      <c r="B32" s="5" t="s">
        <v>430</v>
      </c>
      <c r="C32" s="5" t="s">
        <v>431</v>
      </c>
      <c r="D32" s="6">
        <v>180000000</v>
      </c>
      <c r="E32" s="8">
        <v>45691.686111111107</v>
      </c>
      <c r="F32" s="5" t="s">
        <v>355</v>
      </c>
      <c r="G32" s="5" t="s">
        <v>422</v>
      </c>
      <c r="H32" s="7" t="s">
        <v>432</v>
      </c>
    </row>
    <row r="33" spans="1:8" ht="30" hidden="1" customHeight="1" outlineLevel="1">
      <c r="A33" s="5" t="s">
        <v>14</v>
      </c>
      <c r="B33" s="5" t="s">
        <v>433</v>
      </c>
      <c r="C33" s="5" t="s">
        <v>434</v>
      </c>
      <c r="D33" s="6">
        <v>150000000</v>
      </c>
      <c r="E33" s="8">
        <v>45681.561805555553</v>
      </c>
      <c r="F33" s="5" t="s">
        <v>355</v>
      </c>
      <c r="G33" s="5" t="s">
        <v>422</v>
      </c>
      <c r="H33" s="7" t="s">
        <v>435</v>
      </c>
    </row>
    <row r="34" spans="1:8" ht="30" hidden="1" customHeight="1" outlineLevel="1">
      <c r="A34" s="5" t="s">
        <v>14</v>
      </c>
      <c r="B34" s="5" t="s">
        <v>436</v>
      </c>
      <c r="C34" s="5" t="s">
        <v>388</v>
      </c>
      <c r="D34" s="6">
        <v>175000000</v>
      </c>
      <c r="E34" s="8">
        <v>45677.425694444442</v>
      </c>
      <c r="F34" s="5" t="s">
        <v>355</v>
      </c>
      <c r="G34" s="5" t="s">
        <v>422</v>
      </c>
      <c r="H34" s="7" t="s">
        <v>437</v>
      </c>
    </row>
    <row r="35" spans="1:8" ht="30" hidden="1" customHeight="1" outlineLevel="1">
      <c r="A35" s="5" t="s">
        <v>14</v>
      </c>
      <c r="B35" s="5" t="s">
        <v>438</v>
      </c>
      <c r="C35" s="5" t="s">
        <v>388</v>
      </c>
      <c r="D35" s="6">
        <v>175000000</v>
      </c>
      <c r="E35" s="8">
        <v>45667.554166666669</v>
      </c>
      <c r="F35" s="5" t="s">
        <v>355</v>
      </c>
      <c r="G35" s="5" t="s">
        <v>372</v>
      </c>
      <c r="H35" s="7" t="s">
        <v>439</v>
      </c>
    </row>
    <row r="36" spans="1:8" ht="30" hidden="1" customHeight="1" outlineLevel="1">
      <c r="A36" s="5" t="s">
        <v>14</v>
      </c>
      <c r="B36" s="5" t="s">
        <v>440</v>
      </c>
      <c r="C36" s="5" t="s">
        <v>399</v>
      </c>
      <c r="D36" s="6">
        <v>121000000</v>
      </c>
      <c r="E36" s="8">
        <v>45436.42083333333</v>
      </c>
      <c r="F36" s="5" t="s">
        <v>62</v>
      </c>
      <c r="G36" s="5" t="s">
        <v>441</v>
      </c>
      <c r="H36" s="7" t="s">
        <v>442</v>
      </c>
    </row>
    <row r="37" spans="1:8" ht="30" hidden="1" customHeight="1" outlineLevel="1">
      <c r="A37" s="5" t="s">
        <v>14</v>
      </c>
      <c r="B37" s="5" t="s">
        <v>443</v>
      </c>
      <c r="C37" s="5" t="s">
        <v>444</v>
      </c>
      <c r="D37" s="6">
        <v>205000000</v>
      </c>
      <c r="E37" s="8">
        <v>45435.459722222222</v>
      </c>
      <c r="F37" s="5" t="s">
        <v>62</v>
      </c>
      <c r="G37" s="5" t="s">
        <v>441</v>
      </c>
      <c r="H37" s="7" t="s">
        <v>445</v>
      </c>
    </row>
    <row r="38" spans="1:8" ht="30" hidden="1" customHeight="1" outlineLevel="1">
      <c r="A38" s="5" t="s">
        <v>14</v>
      </c>
      <c r="B38" s="5" t="s">
        <v>446</v>
      </c>
      <c r="C38" s="5" t="s">
        <v>409</v>
      </c>
      <c r="D38" s="6">
        <v>239727000</v>
      </c>
      <c r="E38" s="8">
        <v>45400.32708333333</v>
      </c>
      <c r="F38" s="5" t="s">
        <v>62</v>
      </c>
      <c r="G38" s="5" t="s">
        <v>441</v>
      </c>
      <c r="H38" s="7" t="s">
        <v>447</v>
      </c>
    </row>
    <row r="39" spans="1:8" ht="30" hidden="1" customHeight="1" outlineLevel="1">
      <c r="A39" s="5" t="s">
        <v>14</v>
      </c>
      <c r="B39" s="5" t="s">
        <v>448</v>
      </c>
      <c r="C39" s="5" t="s">
        <v>449</v>
      </c>
      <c r="D39" s="6">
        <v>201555500</v>
      </c>
      <c r="E39" s="8">
        <v>45385.654861111107</v>
      </c>
      <c r="F39" s="5" t="s">
        <v>355</v>
      </c>
      <c r="G39" s="5" t="s">
        <v>422</v>
      </c>
      <c r="H39" s="7" t="s">
        <v>450</v>
      </c>
    </row>
    <row r="40" spans="1:8" ht="30" hidden="1" customHeight="1" outlineLevel="1">
      <c r="A40" s="5" t="s">
        <v>14</v>
      </c>
      <c r="B40" s="5" t="s">
        <v>451</v>
      </c>
      <c r="C40" s="5" t="s">
        <v>452</v>
      </c>
      <c r="D40" s="6">
        <v>200000000</v>
      </c>
      <c r="E40" s="8">
        <v>45384.402777777781</v>
      </c>
      <c r="F40" s="5" t="s">
        <v>62</v>
      </c>
      <c r="G40" s="5" t="s">
        <v>441</v>
      </c>
      <c r="H40" s="7" t="s">
        <v>453</v>
      </c>
    </row>
    <row r="41" spans="1:8" ht="30" hidden="1" customHeight="1" outlineLevel="1">
      <c r="A41" s="5" t="s">
        <v>14</v>
      </c>
      <c r="B41" s="5" t="s">
        <v>454</v>
      </c>
      <c r="C41" s="5" t="s">
        <v>455</v>
      </c>
      <c r="D41" s="6">
        <v>400000000</v>
      </c>
      <c r="E41" s="8">
        <v>45364.700694444437</v>
      </c>
      <c r="F41" s="5" t="s">
        <v>355</v>
      </c>
      <c r="G41" s="5" t="s">
        <v>441</v>
      </c>
      <c r="H41" s="7" t="s">
        <v>456</v>
      </c>
    </row>
    <row r="42" spans="1:8" ht="30" hidden="1" customHeight="1" outlineLevel="1">
      <c r="A42" s="5" t="s">
        <v>14</v>
      </c>
      <c r="B42" s="5" t="s">
        <v>457</v>
      </c>
      <c r="C42" s="5" t="s">
        <v>458</v>
      </c>
      <c r="D42" s="6">
        <v>120000000</v>
      </c>
      <c r="E42" s="8">
        <v>45364.402777777781</v>
      </c>
      <c r="F42" s="5" t="s">
        <v>355</v>
      </c>
      <c r="G42" s="5" t="s">
        <v>441</v>
      </c>
      <c r="H42" s="7" t="s">
        <v>459</v>
      </c>
    </row>
    <row r="43" spans="1:8" ht="30" hidden="1" customHeight="1" outlineLevel="1">
      <c r="A43" s="5" t="s">
        <v>14</v>
      </c>
      <c r="B43" s="5" t="s">
        <v>420</v>
      </c>
      <c r="C43" s="5" t="s">
        <v>421</v>
      </c>
      <c r="D43" s="6">
        <v>200000000</v>
      </c>
      <c r="E43" s="8">
        <v>45350.63958333333</v>
      </c>
      <c r="F43" s="5" t="s">
        <v>62</v>
      </c>
      <c r="G43" s="5" t="s">
        <v>441</v>
      </c>
      <c r="H43" s="7" t="s">
        <v>460</v>
      </c>
    </row>
    <row r="44" spans="1:8" ht="30" hidden="1" customHeight="1" outlineLevel="1">
      <c r="A44" s="5" t="s">
        <v>14</v>
      </c>
      <c r="B44" s="5" t="s">
        <v>461</v>
      </c>
      <c r="C44" s="5" t="s">
        <v>434</v>
      </c>
      <c r="D44" s="6">
        <v>240000000</v>
      </c>
      <c r="E44" s="8">
        <v>45341.571527777778</v>
      </c>
      <c r="F44" s="5" t="s">
        <v>355</v>
      </c>
      <c r="G44" s="5" t="s">
        <v>441</v>
      </c>
      <c r="H44" s="7" t="s">
        <v>462</v>
      </c>
    </row>
    <row r="45" spans="1:8" ht="30" hidden="1" customHeight="1" outlineLevel="1">
      <c r="A45" s="5" t="s">
        <v>14</v>
      </c>
      <c r="B45" s="5" t="s">
        <v>463</v>
      </c>
      <c r="C45" s="5" t="s">
        <v>434</v>
      </c>
      <c r="D45" s="6">
        <v>240000000</v>
      </c>
      <c r="E45" s="8">
        <v>45341.570138888892</v>
      </c>
      <c r="F45" s="5" t="s">
        <v>355</v>
      </c>
      <c r="G45" s="5" t="s">
        <v>441</v>
      </c>
      <c r="H45" s="7" t="s">
        <v>464</v>
      </c>
    </row>
    <row r="46" spans="1:8" ht="30" hidden="1" customHeight="1" outlineLevel="1">
      <c r="A46" s="5" t="s">
        <v>14</v>
      </c>
      <c r="B46" s="5" t="s">
        <v>465</v>
      </c>
      <c r="C46" s="5" t="s">
        <v>388</v>
      </c>
      <c r="D46" s="6">
        <v>158000000</v>
      </c>
      <c r="E46" s="8">
        <v>45327.409722222219</v>
      </c>
      <c r="F46" s="5" t="s">
        <v>355</v>
      </c>
      <c r="G46" s="5" t="s">
        <v>441</v>
      </c>
      <c r="H46" s="7" t="s">
        <v>466</v>
      </c>
    </row>
    <row r="47" spans="1:8" ht="30" hidden="1" customHeight="1" outlineLevel="1">
      <c r="A47" s="5" t="s">
        <v>14</v>
      </c>
      <c r="B47" s="5" t="s">
        <v>467</v>
      </c>
      <c r="C47" s="5" t="s">
        <v>388</v>
      </c>
      <c r="D47" s="6">
        <v>158000000</v>
      </c>
      <c r="E47" s="8">
        <v>45313.361805555563</v>
      </c>
      <c r="F47" s="5" t="s">
        <v>355</v>
      </c>
      <c r="G47" s="5" t="s">
        <v>441</v>
      </c>
      <c r="H47" s="7" t="s">
        <v>468</v>
      </c>
    </row>
    <row r="48" spans="1:8" ht="58" customHeight="1" collapsed="1">
      <c r="A48" s="12" t="s">
        <v>68</v>
      </c>
      <c r="B48" s="13" t="s">
        <v>65</v>
      </c>
      <c r="C48" s="14" t="s">
        <v>66</v>
      </c>
      <c r="D48" s="15">
        <v>40</v>
      </c>
      <c r="E48" s="15">
        <v>40</v>
      </c>
      <c r="F48" s="15">
        <v>13</v>
      </c>
      <c r="G48" s="15">
        <v>27</v>
      </c>
      <c r="H48" s="13" t="s">
        <v>469</v>
      </c>
    </row>
    <row r="49" spans="1:8" ht="32" hidden="1" customHeight="1" outlineLevel="1">
      <c r="A49" s="4" t="s">
        <v>6</v>
      </c>
      <c r="B49" s="4" t="s">
        <v>17</v>
      </c>
      <c r="C49" s="4" t="s">
        <v>18</v>
      </c>
      <c r="D49" s="4" t="s">
        <v>19</v>
      </c>
      <c r="E49" s="4" t="s">
        <v>21</v>
      </c>
      <c r="F49" s="4" t="s">
        <v>357</v>
      </c>
      <c r="G49" s="4" t="s">
        <v>358</v>
      </c>
      <c r="H49" s="4" t="s">
        <v>359</v>
      </c>
    </row>
    <row r="50" spans="1:8" ht="30" hidden="1" customHeight="1" outlineLevel="1">
      <c r="A50" s="5" t="s">
        <v>14</v>
      </c>
      <c r="B50" s="5" t="s">
        <v>47</v>
      </c>
      <c r="C50" s="5" t="s">
        <v>48</v>
      </c>
      <c r="D50" s="6">
        <v>138000000</v>
      </c>
      <c r="E50" s="8">
        <v>46181.424305555563</v>
      </c>
      <c r="F50" s="5" t="s">
        <v>355</v>
      </c>
      <c r="G50" s="5" t="s">
        <v>362</v>
      </c>
      <c r="H50" s="7" t="s">
        <v>470</v>
      </c>
    </row>
    <row r="51" spans="1:8" ht="30" hidden="1" customHeight="1" outlineLevel="1">
      <c r="A51" s="5" t="s">
        <v>12</v>
      </c>
      <c r="B51" s="5" t="s">
        <v>471</v>
      </c>
      <c r="C51" s="5" t="s">
        <v>472</v>
      </c>
      <c r="D51" s="6">
        <v>110000000</v>
      </c>
      <c r="E51" s="8">
        <v>46156.633333333331</v>
      </c>
      <c r="F51" s="5" t="s">
        <v>355</v>
      </c>
      <c r="G51" s="5" t="s">
        <v>362</v>
      </c>
      <c r="H51" s="7" t="s">
        <v>473</v>
      </c>
    </row>
    <row r="52" spans="1:8" ht="30" hidden="1" customHeight="1" outlineLevel="1">
      <c r="A52" s="5" t="s">
        <v>14</v>
      </c>
      <c r="B52" s="5" t="s">
        <v>474</v>
      </c>
      <c r="C52" s="5" t="s">
        <v>409</v>
      </c>
      <c r="D52" s="6">
        <v>184915000</v>
      </c>
      <c r="E52" s="8">
        <v>46132.425000000003</v>
      </c>
      <c r="F52" s="5" t="s">
        <v>355</v>
      </c>
      <c r="G52" s="5" t="s">
        <v>362</v>
      </c>
      <c r="H52" s="7" t="s">
        <v>475</v>
      </c>
    </row>
    <row r="53" spans="1:8" ht="30" hidden="1" customHeight="1" outlineLevel="1">
      <c r="A53" s="5" t="s">
        <v>12</v>
      </c>
      <c r="B53" s="5" t="s">
        <v>476</v>
      </c>
      <c r="C53" s="5" t="s">
        <v>477</v>
      </c>
      <c r="D53" s="6">
        <v>157200000</v>
      </c>
      <c r="E53" s="8">
        <v>46112.430555555547</v>
      </c>
      <c r="F53" s="5" t="s">
        <v>355</v>
      </c>
      <c r="G53" s="5" t="s">
        <v>372</v>
      </c>
      <c r="H53" s="7" t="s">
        <v>478</v>
      </c>
    </row>
    <row r="54" spans="1:8" ht="30" hidden="1" customHeight="1" outlineLevel="1">
      <c r="A54" s="5" t="s">
        <v>14</v>
      </c>
      <c r="B54" s="5" t="s">
        <v>479</v>
      </c>
      <c r="C54" s="5" t="s">
        <v>434</v>
      </c>
      <c r="D54" s="6">
        <v>180000000</v>
      </c>
      <c r="E54" s="8">
        <v>46073.432638888888</v>
      </c>
      <c r="F54" s="5" t="s">
        <v>355</v>
      </c>
      <c r="G54" s="5" t="s">
        <v>372</v>
      </c>
      <c r="H54" s="7" t="s">
        <v>480</v>
      </c>
    </row>
    <row r="55" spans="1:8" ht="30" hidden="1" customHeight="1" outlineLevel="1">
      <c r="A55" s="5" t="s">
        <v>14</v>
      </c>
      <c r="B55" s="5" t="s">
        <v>481</v>
      </c>
      <c r="C55" s="5" t="s">
        <v>434</v>
      </c>
      <c r="D55" s="6">
        <v>300000000</v>
      </c>
      <c r="E55" s="8">
        <v>46073.428472222222</v>
      </c>
      <c r="F55" s="5" t="s">
        <v>355</v>
      </c>
      <c r="G55" s="5" t="s">
        <v>372</v>
      </c>
      <c r="H55" s="7" t="s">
        <v>482</v>
      </c>
    </row>
    <row r="56" spans="1:8" ht="30" hidden="1" customHeight="1" outlineLevel="1">
      <c r="A56" s="5" t="s">
        <v>14</v>
      </c>
      <c r="B56" s="5" t="s">
        <v>483</v>
      </c>
      <c r="C56" s="5" t="s">
        <v>388</v>
      </c>
      <c r="D56" s="6">
        <v>180000000</v>
      </c>
      <c r="E56" s="8">
        <v>46056.45208333333</v>
      </c>
      <c r="F56" s="5" t="s">
        <v>62</v>
      </c>
      <c r="G56" s="5" t="s">
        <v>372</v>
      </c>
      <c r="H56" s="7" t="s">
        <v>484</v>
      </c>
    </row>
    <row r="57" spans="1:8" ht="30" hidden="1" customHeight="1" outlineLevel="1">
      <c r="A57" s="5" t="s">
        <v>14</v>
      </c>
      <c r="B57" s="5" t="s">
        <v>485</v>
      </c>
      <c r="C57" s="5" t="s">
        <v>388</v>
      </c>
      <c r="D57" s="6">
        <v>180000000</v>
      </c>
      <c r="E57" s="8">
        <v>46056.450694444437</v>
      </c>
      <c r="F57" s="5" t="s">
        <v>62</v>
      </c>
      <c r="G57" s="5" t="s">
        <v>372</v>
      </c>
      <c r="H57" s="7" t="s">
        <v>486</v>
      </c>
    </row>
    <row r="58" spans="1:8" ht="30" hidden="1" customHeight="1" outlineLevel="1">
      <c r="A58" s="5" t="s">
        <v>14</v>
      </c>
      <c r="B58" s="5" t="s">
        <v>392</v>
      </c>
      <c r="C58" s="5" t="s">
        <v>393</v>
      </c>
      <c r="D58" s="6">
        <v>75000000</v>
      </c>
      <c r="E58" s="8">
        <v>45999.602777777778</v>
      </c>
      <c r="F58" s="5" t="s">
        <v>62</v>
      </c>
      <c r="G58" s="5" t="s">
        <v>372</v>
      </c>
      <c r="H58" s="7" t="s">
        <v>394</v>
      </c>
    </row>
    <row r="59" spans="1:8" ht="30" hidden="1" customHeight="1" outlineLevel="1">
      <c r="A59" s="5" t="s">
        <v>13</v>
      </c>
      <c r="B59" s="5" t="s">
        <v>487</v>
      </c>
      <c r="C59" s="5" t="s">
        <v>488</v>
      </c>
      <c r="D59" s="6">
        <v>45500000</v>
      </c>
      <c r="E59" s="8">
        <v>45985.73333333333</v>
      </c>
      <c r="F59" s="5" t="s">
        <v>62</v>
      </c>
      <c r="G59" s="5" t="s">
        <v>372</v>
      </c>
      <c r="H59" s="7" t="s">
        <v>489</v>
      </c>
    </row>
    <row r="60" spans="1:8" ht="30" hidden="1" customHeight="1" outlineLevel="1">
      <c r="A60" s="5" t="s">
        <v>12</v>
      </c>
      <c r="B60" s="5" t="s">
        <v>490</v>
      </c>
      <c r="C60" s="5" t="s">
        <v>491</v>
      </c>
      <c r="D60" s="6">
        <v>54000000</v>
      </c>
      <c r="E60" s="8">
        <v>45978.477777777778</v>
      </c>
      <c r="F60" s="5" t="s">
        <v>355</v>
      </c>
      <c r="G60" s="5" t="s">
        <v>372</v>
      </c>
      <c r="H60" s="7" t="s">
        <v>492</v>
      </c>
    </row>
    <row r="61" spans="1:8" ht="30" hidden="1" customHeight="1" outlineLevel="1">
      <c r="A61" s="5" t="s">
        <v>14</v>
      </c>
      <c r="B61" s="5" t="s">
        <v>493</v>
      </c>
      <c r="C61" s="5" t="s">
        <v>54</v>
      </c>
      <c r="D61" s="6">
        <v>252210000</v>
      </c>
      <c r="E61" s="8">
        <v>45887.634722222218</v>
      </c>
      <c r="F61" s="5" t="s">
        <v>62</v>
      </c>
      <c r="G61" s="5" t="s">
        <v>372</v>
      </c>
      <c r="H61" s="7" t="s">
        <v>494</v>
      </c>
    </row>
    <row r="62" spans="1:8" ht="30" hidden="1" customHeight="1" outlineLevel="1">
      <c r="A62" s="5" t="s">
        <v>14</v>
      </c>
      <c r="B62" s="5" t="s">
        <v>495</v>
      </c>
      <c r="C62" s="5" t="s">
        <v>496</v>
      </c>
      <c r="D62" s="6">
        <v>42800000</v>
      </c>
      <c r="E62" s="8">
        <v>45869.436111111107</v>
      </c>
      <c r="F62" s="5" t="s">
        <v>62</v>
      </c>
      <c r="G62" s="5" t="s">
        <v>372</v>
      </c>
      <c r="H62" s="7" t="s">
        <v>497</v>
      </c>
    </row>
    <row r="63" spans="1:8" ht="30" hidden="1" customHeight="1" outlineLevel="1">
      <c r="A63" s="5" t="s">
        <v>14</v>
      </c>
      <c r="B63" s="5" t="s">
        <v>498</v>
      </c>
      <c r="C63" s="5" t="s">
        <v>499</v>
      </c>
      <c r="D63" s="6">
        <v>79737000</v>
      </c>
      <c r="E63" s="8">
        <v>45817.577777777777</v>
      </c>
      <c r="F63" s="5" t="s">
        <v>62</v>
      </c>
      <c r="G63" s="5" t="s">
        <v>372</v>
      </c>
      <c r="H63" s="7" t="s">
        <v>500</v>
      </c>
    </row>
    <row r="64" spans="1:8" ht="30" hidden="1" customHeight="1" outlineLevel="1">
      <c r="A64" s="5" t="s">
        <v>13</v>
      </c>
      <c r="B64" s="5" t="s">
        <v>501</v>
      </c>
      <c r="C64" s="5" t="s">
        <v>361</v>
      </c>
      <c r="D64" s="6">
        <v>111031400</v>
      </c>
      <c r="E64" s="8">
        <v>45813.683333333327</v>
      </c>
      <c r="F64" s="5" t="s">
        <v>62</v>
      </c>
      <c r="G64" s="5" t="s">
        <v>372</v>
      </c>
      <c r="H64" s="7" t="s">
        <v>502</v>
      </c>
    </row>
    <row r="65" spans="1:8" ht="30" hidden="1" customHeight="1" outlineLevel="1">
      <c r="A65" s="5" t="s">
        <v>14</v>
      </c>
      <c r="B65" s="5" t="s">
        <v>401</v>
      </c>
      <c r="C65" s="5" t="s">
        <v>402</v>
      </c>
      <c r="D65" s="6">
        <v>150000000</v>
      </c>
      <c r="E65" s="8">
        <v>45803.455555555563</v>
      </c>
      <c r="F65" s="5" t="s">
        <v>355</v>
      </c>
      <c r="G65" s="5" t="s">
        <v>372</v>
      </c>
      <c r="H65" s="7" t="s">
        <v>403</v>
      </c>
    </row>
    <row r="66" spans="1:8" ht="30" hidden="1" customHeight="1" outlineLevel="1">
      <c r="A66" s="5" t="s">
        <v>14</v>
      </c>
      <c r="B66" s="5" t="s">
        <v>503</v>
      </c>
      <c r="C66" s="5" t="s">
        <v>504</v>
      </c>
      <c r="D66" s="6">
        <v>430000000</v>
      </c>
      <c r="E66" s="8">
        <v>45792.703472222223</v>
      </c>
      <c r="F66" s="5" t="s">
        <v>62</v>
      </c>
      <c r="G66" s="5" t="s">
        <v>372</v>
      </c>
      <c r="H66" s="7" t="s">
        <v>505</v>
      </c>
    </row>
    <row r="67" spans="1:8" ht="30" hidden="1" customHeight="1" outlineLevel="1">
      <c r="A67" s="5" t="s">
        <v>14</v>
      </c>
      <c r="B67" s="5" t="s">
        <v>506</v>
      </c>
      <c r="C67" s="5" t="s">
        <v>48</v>
      </c>
      <c r="D67" s="6">
        <v>200000000</v>
      </c>
      <c r="E67" s="8">
        <v>45775.740972222222</v>
      </c>
      <c r="F67" s="5" t="s">
        <v>355</v>
      </c>
      <c r="G67" s="5" t="s">
        <v>372</v>
      </c>
      <c r="H67" s="7" t="s">
        <v>507</v>
      </c>
    </row>
    <row r="68" spans="1:8" ht="30" hidden="1" customHeight="1" outlineLevel="1">
      <c r="A68" s="5" t="s">
        <v>14</v>
      </c>
      <c r="B68" s="5" t="s">
        <v>404</v>
      </c>
      <c r="C68" s="5" t="s">
        <v>365</v>
      </c>
      <c r="D68" s="6">
        <v>396000000</v>
      </c>
      <c r="E68" s="8">
        <v>45775.44027777778</v>
      </c>
      <c r="F68" s="5" t="s">
        <v>355</v>
      </c>
      <c r="G68" s="5" t="s">
        <v>372</v>
      </c>
      <c r="H68" s="7" t="s">
        <v>405</v>
      </c>
    </row>
    <row r="69" spans="1:8" ht="30" hidden="1" customHeight="1" outlineLevel="1">
      <c r="A69" s="5" t="s">
        <v>14</v>
      </c>
      <c r="B69" s="5" t="s">
        <v>408</v>
      </c>
      <c r="C69" s="5" t="s">
        <v>409</v>
      </c>
      <c r="D69" s="6">
        <v>199901000</v>
      </c>
      <c r="E69" s="8">
        <v>45768.42083333333</v>
      </c>
      <c r="F69" s="5" t="s">
        <v>62</v>
      </c>
      <c r="G69" s="5" t="s">
        <v>372</v>
      </c>
      <c r="H69" s="7" t="s">
        <v>410</v>
      </c>
    </row>
    <row r="70" spans="1:8" ht="30" hidden="1" customHeight="1" outlineLevel="1">
      <c r="A70" s="5" t="s">
        <v>14</v>
      </c>
      <c r="B70" s="5" t="s">
        <v>508</v>
      </c>
      <c r="C70" s="5" t="s">
        <v>434</v>
      </c>
      <c r="D70" s="6">
        <v>138000000</v>
      </c>
      <c r="E70" s="8">
        <v>45751.648611111108</v>
      </c>
      <c r="F70" s="5" t="s">
        <v>355</v>
      </c>
      <c r="G70" s="5" t="s">
        <v>372</v>
      </c>
      <c r="H70" s="7" t="s">
        <v>509</v>
      </c>
    </row>
    <row r="71" spans="1:8" ht="30" hidden="1" customHeight="1" outlineLevel="1">
      <c r="A71" s="5" t="s">
        <v>12</v>
      </c>
      <c r="B71" s="5" t="s">
        <v>510</v>
      </c>
      <c r="C71" s="5" t="s">
        <v>48</v>
      </c>
      <c r="D71" s="6">
        <v>120000000</v>
      </c>
      <c r="E71" s="8">
        <v>45742.63958333333</v>
      </c>
      <c r="F71" s="5" t="s">
        <v>355</v>
      </c>
      <c r="G71" s="5" t="s">
        <v>372</v>
      </c>
      <c r="H71" s="7" t="s">
        <v>511</v>
      </c>
    </row>
    <row r="72" spans="1:8" ht="30" hidden="1" customHeight="1" outlineLevel="1">
      <c r="A72" s="5" t="s">
        <v>14</v>
      </c>
      <c r="B72" s="5" t="s">
        <v>512</v>
      </c>
      <c r="C72" s="5" t="s">
        <v>444</v>
      </c>
      <c r="D72" s="6">
        <v>110000000</v>
      </c>
      <c r="E72" s="8">
        <v>45741.401388888888</v>
      </c>
      <c r="F72" s="5" t="s">
        <v>62</v>
      </c>
      <c r="G72" s="5" t="s">
        <v>372</v>
      </c>
      <c r="H72" s="7" t="s">
        <v>513</v>
      </c>
    </row>
    <row r="73" spans="1:8" ht="30" hidden="1" customHeight="1" outlineLevel="1">
      <c r="A73" s="5" t="s">
        <v>12</v>
      </c>
      <c r="B73" s="5" t="s">
        <v>514</v>
      </c>
      <c r="C73" s="5" t="s">
        <v>515</v>
      </c>
      <c r="D73" s="6">
        <v>90000000</v>
      </c>
      <c r="E73" s="8">
        <v>45734.620138888888</v>
      </c>
      <c r="F73" s="5" t="s">
        <v>355</v>
      </c>
      <c r="G73" s="5" t="s">
        <v>372</v>
      </c>
      <c r="H73" s="7" t="s">
        <v>516</v>
      </c>
    </row>
    <row r="74" spans="1:8" ht="30" hidden="1" customHeight="1" outlineLevel="1">
      <c r="A74" s="5" t="s">
        <v>14</v>
      </c>
      <c r="B74" s="5" t="s">
        <v>517</v>
      </c>
      <c r="C74" s="5" t="s">
        <v>434</v>
      </c>
      <c r="D74" s="6">
        <v>275000000</v>
      </c>
      <c r="E74" s="8">
        <v>45722.538888888892</v>
      </c>
      <c r="F74" s="5" t="s">
        <v>355</v>
      </c>
      <c r="G74" s="5" t="s">
        <v>372</v>
      </c>
      <c r="H74" s="7" t="s">
        <v>518</v>
      </c>
    </row>
    <row r="75" spans="1:8" ht="30" hidden="1" customHeight="1" outlineLevel="1">
      <c r="A75" s="5" t="s">
        <v>12</v>
      </c>
      <c r="B75" s="5" t="s">
        <v>427</v>
      </c>
      <c r="C75" s="5" t="s">
        <v>428</v>
      </c>
      <c r="D75" s="6">
        <v>221585600</v>
      </c>
      <c r="E75" s="8">
        <v>45698.609027777777</v>
      </c>
      <c r="F75" s="5" t="s">
        <v>355</v>
      </c>
      <c r="G75" s="5" t="s">
        <v>422</v>
      </c>
      <c r="H75" s="7" t="s">
        <v>429</v>
      </c>
    </row>
    <row r="76" spans="1:8" ht="30" hidden="1" customHeight="1" outlineLevel="1">
      <c r="A76" s="5" t="s">
        <v>14</v>
      </c>
      <c r="B76" s="5" t="s">
        <v>433</v>
      </c>
      <c r="C76" s="5" t="s">
        <v>434</v>
      </c>
      <c r="D76" s="6">
        <v>150000000</v>
      </c>
      <c r="E76" s="8">
        <v>45681.561805555553</v>
      </c>
      <c r="F76" s="5" t="s">
        <v>355</v>
      </c>
      <c r="G76" s="5" t="s">
        <v>422</v>
      </c>
      <c r="H76" s="7" t="s">
        <v>435</v>
      </c>
    </row>
    <row r="77" spans="1:8" ht="30" hidden="1" customHeight="1" outlineLevel="1">
      <c r="A77" s="5" t="s">
        <v>14</v>
      </c>
      <c r="B77" s="5" t="s">
        <v>519</v>
      </c>
      <c r="C77" s="5" t="s">
        <v>388</v>
      </c>
      <c r="D77" s="6">
        <v>175000000</v>
      </c>
      <c r="E77" s="8">
        <v>45677.416666666657</v>
      </c>
      <c r="F77" s="5" t="s">
        <v>355</v>
      </c>
      <c r="G77" s="5" t="s">
        <v>422</v>
      </c>
      <c r="H77" s="7" t="s">
        <v>520</v>
      </c>
    </row>
    <row r="78" spans="1:8" ht="30" hidden="1" customHeight="1" outlineLevel="1">
      <c r="A78" s="5" t="s">
        <v>14</v>
      </c>
      <c r="B78" s="5" t="s">
        <v>521</v>
      </c>
      <c r="C78" s="5" t="s">
        <v>388</v>
      </c>
      <c r="D78" s="6">
        <v>175000000</v>
      </c>
      <c r="E78" s="8">
        <v>45667.443055555559</v>
      </c>
      <c r="F78" s="5" t="s">
        <v>355</v>
      </c>
      <c r="G78" s="5" t="s">
        <v>372</v>
      </c>
      <c r="H78" s="7" t="s">
        <v>522</v>
      </c>
    </row>
    <row r="79" spans="1:8" ht="30" hidden="1" customHeight="1" outlineLevel="1">
      <c r="A79" s="5" t="s">
        <v>14</v>
      </c>
      <c r="B79" s="5" t="s">
        <v>523</v>
      </c>
      <c r="C79" s="5" t="s">
        <v>496</v>
      </c>
      <c r="D79" s="6">
        <v>42000000</v>
      </c>
      <c r="E79" s="8">
        <v>45510.405555555553</v>
      </c>
      <c r="F79" s="5" t="s">
        <v>62</v>
      </c>
      <c r="G79" s="5" t="s">
        <v>441</v>
      </c>
      <c r="H79" s="7" t="s">
        <v>524</v>
      </c>
    </row>
    <row r="80" spans="1:8" ht="30" hidden="1" customHeight="1" outlineLevel="1">
      <c r="A80" s="5" t="s">
        <v>14</v>
      </c>
      <c r="B80" s="5" t="s">
        <v>443</v>
      </c>
      <c r="C80" s="5" t="s">
        <v>444</v>
      </c>
      <c r="D80" s="6">
        <v>205000000</v>
      </c>
      <c r="E80" s="8">
        <v>45435.459722222222</v>
      </c>
      <c r="F80" s="5" t="s">
        <v>355</v>
      </c>
      <c r="G80" s="5" t="s">
        <v>441</v>
      </c>
      <c r="H80" s="7" t="s">
        <v>445</v>
      </c>
    </row>
    <row r="81" spans="1:8" ht="30" hidden="1" customHeight="1" outlineLevel="1">
      <c r="A81" s="5" t="s">
        <v>14</v>
      </c>
      <c r="B81" s="5" t="s">
        <v>525</v>
      </c>
      <c r="C81" s="5" t="s">
        <v>499</v>
      </c>
      <c r="D81" s="6">
        <v>190279490</v>
      </c>
      <c r="E81" s="8">
        <v>45420.729861111111</v>
      </c>
      <c r="F81" s="5" t="s">
        <v>355</v>
      </c>
      <c r="G81" s="5" t="s">
        <v>422</v>
      </c>
      <c r="H81" s="7" t="s">
        <v>526</v>
      </c>
    </row>
    <row r="82" spans="1:8" ht="30" hidden="1" customHeight="1" outlineLevel="1">
      <c r="A82" s="5" t="s">
        <v>14</v>
      </c>
      <c r="B82" s="5" t="s">
        <v>446</v>
      </c>
      <c r="C82" s="5" t="s">
        <v>409</v>
      </c>
      <c r="D82" s="6">
        <v>239727000</v>
      </c>
      <c r="E82" s="8">
        <v>45400.32708333333</v>
      </c>
      <c r="F82" s="5" t="s">
        <v>355</v>
      </c>
      <c r="G82" s="5" t="s">
        <v>441</v>
      </c>
      <c r="H82" s="7" t="s">
        <v>447</v>
      </c>
    </row>
    <row r="83" spans="1:8" ht="30" hidden="1" customHeight="1" outlineLevel="1">
      <c r="A83" s="5" t="s">
        <v>14</v>
      </c>
      <c r="B83" s="5" t="s">
        <v>527</v>
      </c>
      <c r="C83" s="5" t="s">
        <v>415</v>
      </c>
      <c r="D83" s="6">
        <v>520000000</v>
      </c>
      <c r="E83" s="8">
        <v>45393.584027777782</v>
      </c>
      <c r="F83" s="5" t="s">
        <v>355</v>
      </c>
      <c r="G83" s="5" t="s">
        <v>441</v>
      </c>
      <c r="H83" s="7" t="s">
        <v>528</v>
      </c>
    </row>
    <row r="84" spans="1:8" ht="30" hidden="1" customHeight="1" outlineLevel="1">
      <c r="A84" s="5" t="s">
        <v>14</v>
      </c>
      <c r="B84" s="5" t="s">
        <v>454</v>
      </c>
      <c r="C84" s="5" t="s">
        <v>455</v>
      </c>
      <c r="D84" s="6">
        <v>400000000</v>
      </c>
      <c r="E84" s="8">
        <v>45364.700694444437</v>
      </c>
      <c r="F84" s="5" t="s">
        <v>355</v>
      </c>
      <c r="G84" s="5" t="s">
        <v>441</v>
      </c>
      <c r="H84" s="7" t="s">
        <v>456</v>
      </c>
    </row>
    <row r="85" spans="1:8" ht="30" hidden="1" customHeight="1" outlineLevel="1">
      <c r="A85" s="5" t="s">
        <v>14</v>
      </c>
      <c r="B85" s="5" t="s">
        <v>529</v>
      </c>
      <c r="C85" s="5" t="s">
        <v>434</v>
      </c>
      <c r="D85" s="6">
        <v>180000000</v>
      </c>
      <c r="E85" s="8">
        <v>45341.572916666657</v>
      </c>
      <c r="F85" s="5" t="s">
        <v>355</v>
      </c>
      <c r="G85" s="5" t="s">
        <v>441</v>
      </c>
      <c r="H85" s="7" t="s">
        <v>530</v>
      </c>
    </row>
    <row r="86" spans="1:8" ht="30" hidden="1" customHeight="1" outlineLevel="1">
      <c r="A86" s="5" t="s">
        <v>14</v>
      </c>
      <c r="B86" s="5" t="s">
        <v>531</v>
      </c>
      <c r="C86" s="5" t="s">
        <v>428</v>
      </c>
      <c r="D86" s="6">
        <v>191490900</v>
      </c>
      <c r="E86" s="8">
        <v>45338.544444444437</v>
      </c>
      <c r="F86" s="5" t="s">
        <v>355</v>
      </c>
      <c r="G86" s="5" t="s">
        <v>422</v>
      </c>
      <c r="H86" s="7" t="s">
        <v>532</v>
      </c>
    </row>
    <row r="87" spans="1:8" ht="30" hidden="1" customHeight="1" outlineLevel="1">
      <c r="A87" s="5" t="s">
        <v>14</v>
      </c>
      <c r="B87" s="5" t="s">
        <v>533</v>
      </c>
      <c r="C87" s="5" t="s">
        <v>534</v>
      </c>
      <c r="D87" s="6">
        <v>35000000</v>
      </c>
      <c r="E87" s="8">
        <v>45337.60833333333</v>
      </c>
      <c r="F87" s="5" t="s">
        <v>62</v>
      </c>
      <c r="G87" s="5" t="s">
        <v>441</v>
      </c>
      <c r="H87" s="7" t="s">
        <v>535</v>
      </c>
    </row>
    <row r="88" spans="1:8" ht="30" hidden="1" customHeight="1" outlineLevel="1">
      <c r="A88" s="5" t="s">
        <v>14</v>
      </c>
      <c r="B88" s="5" t="s">
        <v>536</v>
      </c>
      <c r="C88" s="5" t="s">
        <v>388</v>
      </c>
      <c r="D88" s="6">
        <v>158000000</v>
      </c>
      <c r="E88" s="8">
        <v>45320.393750000003</v>
      </c>
      <c r="F88" s="5" t="s">
        <v>355</v>
      </c>
      <c r="G88" s="5" t="s">
        <v>441</v>
      </c>
      <c r="H88" s="7" t="s">
        <v>537</v>
      </c>
    </row>
    <row r="89" spans="1:8" ht="30" hidden="1" customHeight="1" outlineLevel="1">
      <c r="A89" s="5" t="s">
        <v>14</v>
      </c>
      <c r="B89" s="5" t="s">
        <v>538</v>
      </c>
      <c r="C89" s="5" t="s">
        <v>388</v>
      </c>
      <c r="D89" s="6">
        <v>158000000</v>
      </c>
      <c r="E89" s="8">
        <v>45320.386805555558</v>
      </c>
      <c r="F89" s="5" t="s">
        <v>355</v>
      </c>
      <c r="G89" s="5" t="s">
        <v>441</v>
      </c>
      <c r="H89" s="7" t="s">
        <v>539</v>
      </c>
    </row>
    <row r="90" spans="1:8" ht="58" customHeight="1" collapsed="1">
      <c r="A90" s="12" t="s">
        <v>70</v>
      </c>
      <c r="B90" s="13" t="s">
        <v>65</v>
      </c>
      <c r="C90" s="14" t="s">
        <v>66</v>
      </c>
      <c r="D90" s="15">
        <v>25</v>
      </c>
      <c r="E90" s="15">
        <v>25</v>
      </c>
      <c r="F90" s="15">
        <v>2</v>
      </c>
      <c r="G90" s="15">
        <v>23</v>
      </c>
      <c r="H90" s="13" t="s">
        <v>540</v>
      </c>
    </row>
    <row r="91" spans="1:8" ht="32" hidden="1" customHeight="1" outlineLevel="1">
      <c r="A91" s="4" t="s">
        <v>6</v>
      </c>
      <c r="B91" s="4" t="s">
        <v>17</v>
      </c>
      <c r="C91" s="4" t="s">
        <v>18</v>
      </c>
      <c r="D91" s="4" t="s">
        <v>19</v>
      </c>
      <c r="E91" s="4" t="s">
        <v>21</v>
      </c>
      <c r="F91" s="4" t="s">
        <v>357</v>
      </c>
      <c r="G91" s="4" t="s">
        <v>358</v>
      </c>
      <c r="H91" s="4" t="s">
        <v>359</v>
      </c>
    </row>
    <row r="92" spans="1:8" ht="30" hidden="1" customHeight="1" outlineLevel="1">
      <c r="A92" s="5" t="s">
        <v>14</v>
      </c>
      <c r="B92" s="5" t="s">
        <v>541</v>
      </c>
      <c r="C92" s="5" t="s">
        <v>393</v>
      </c>
      <c r="D92" s="6">
        <v>60000000</v>
      </c>
      <c r="E92" s="8">
        <v>46154.869444444441</v>
      </c>
      <c r="F92" s="5" t="s">
        <v>355</v>
      </c>
      <c r="G92" s="5" t="s">
        <v>362</v>
      </c>
      <c r="H92" s="7" t="s">
        <v>542</v>
      </c>
    </row>
    <row r="93" spans="1:8" ht="30" hidden="1" customHeight="1" outlineLevel="1">
      <c r="A93" s="5" t="s">
        <v>14</v>
      </c>
      <c r="B93" s="5" t="s">
        <v>481</v>
      </c>
      <c r="C93" s="5" t="s">
        <v>434</v>
      </c>
      <c r="D93" s="6">
        <v>300000000</v>
      </c>
      <c r="E93" s="8">
        <v>46073.428472222222</v>
      </c>
      <c r="F93" s="5" t="s">
        <v>355</v>
      </c>
      <c r="G93" s="5" t="s">
        <v>372</v>
      </c>
      <c r="H93" s="7" t="s">
        <v>482</v>
      </c>
    </row>
    <row r="94" spans="1:8" ht="30" hidden="1" customHeight="1" outlineLevel="1">
      <c r="A94" s="5" t="s">
        <v>14</v>
      </c>
      <c r="B94" s="5" t="s">
        <v>543</v>
      </c>
      <c r="C94" s="5" t="s">
        <v>434</v>
      </c>
      <c r="D94" s="6">
        <v>155000000</v>
      </c>
      <c r="E94" s="8">
        <v>46063.388194444437</v>
      </c>
      <c r="F94" s="5" t="s">
        <v>355</v>
      </c>
      <c r="G94" s="5" t="s">
        <v>372</v>
      </c>
      <c r="H94" s="7" t="s">
        <v>544</v>
      </c>
    </row>
    <row r="95" spans="1:8" ht="30" hidden="1" customHeight="1" outlineLevel="1">
      <c r="A95" s="5" t="s">
        <v>12</v>
      </c>
      <c r="B95" s="5" t="s">
        <v>545</v>
      </c>
      <c r="C95" s="5" t="s">
        <v>546</v>
      </c>
      <c r="D95" s="6">
        <v>210000000</v>
      </c>
      <c r="E95" s="8">
        <v>46051.427083333343</v>
      </c>
      <c r="F95" s="5" t="s">
        <v>355</v>
      </c>
      <c r="G95" s="5" t="s">
        <v>372</v>
      </c>
      <c r="H95" s="7" t="s">
        <v>547</v>
      </c>
    </row>
    <row r="96" spans="1:8" ht="30" hidden="1" customHeight="1" outlineLevel="1">
      <c r="A96" s="5" t="s">
        <v>14</v>
      </c>
      <c r="B96" s="5" t="s">
        <v>392</v>
      </c>
      <c r="C96" s="5" t="s">
        <v>393</v>
      </c>
      <c r="D96" s="6">
        <v>75000000</v>
      </c>
      <c r="E96" s="8">
        <v>45999.602777777778</v>
      </c>
      <c r="F96" s="5" t="s">
        <v>355</v>
      </c>
      <c r="G96" s="5" t="s">
        <v>372</v>
      </c>
      <c r="H96" s="7" t="s">
        <v>394</v>
      </c>
    </row>
    <row r="97" spans="1:8" ht="30" hidden="1" customHeight="1" outlineLevel="1">
      <c r="A97" s="5" t="s">
        <v>12</v>
      </c>
      <c r="B97" s="5" t="s">
        <v>490</v>
      </c>
      <c r="C97" s="5" t="s">
        <v>491</v>
      </c>
      <c r="D97" s="6">
        <v>54000000</v>
      </c>
      <c r="E97" s="8">
        <v>45978.477777777778</v>
      </c>
      <c r="F97" s="5" t="s">
        <v>355</v>
      </c>
      <c r="G97" s="5" t="s">
        <v>372</v>
      </c>
      <c r="H97" s="7" t="s">
        <v>492</v>
      </c>
    </row>
    <row r="98" spans="1:8" ht="30" hidden="1" customHeight="1" outlineLevel="1">
      <c r="A98" s="5" t="s">
        <v>14</v>
      </c>
      <c r="B98" s="5" t="s">
        <v>548</v>
      </c>
      <c r="C98" s="5" t="s">
        <v>549</v>
      </c>
      <c r="D98" s="6">
        <v>100000000</v>
      </c>
      <c r="E98" s="8">
        <v>45832.457638888889</v>
      </c>
      <c r="F98" s="5" t="s">
        <v>62</v>
      </c>
      <c r="G98" s="5" t="s">
        <v>372</v>
      </c>
      <c r="H98" s="7" t="s">
        <v>550</v>
      </c>
    </row>
    <row r="99" spans="1:8" ht="30" hidden="1" customHeight="1" outlineLevel="1">
      <c r="A99" s="5" t="s">
        <v>14</v>
      </c>
      <c r="B99" s="5" t="s">
        <v>508</v>
      </c>
      <c r="C99" s="5" t="s">
        <v>434</v>
      </c>
      <c r="D99" s="6">
        <v>138000000</v>
      </c>
      <c r="E99" s="8">
        <v>45751.648611111108</v>
      </c>
      <c r="F99" s="5" t="s">
        <v>355</v>
      </c>
      <c r="G99" s="5" t="s">
        <v>372</v>
      </c>
      <c r="H99" s="7" t="s">
        <v>509</v>
      </c>
    </row>
    <row r="100" spans="1:8" ht="30" hidden="1" customHeight="1" outlineLevel="1">
      <c r="A100" s="5" t="s">
        <v>14</v>
      </c>
      <c r="B100" s="5" t="s">
        <v>551</v>
      </c>
      <c r="C100" s="5" t="s">
        <v>552</v>
      </c>
      <c r="D100" s="6">
        <v>80000000</v>
      </c>
      <c r="E100" s="8">
        <v>45748.716666666667</v>
      </c>
      <c r="F100" s="5" t="s">
        <v>355</v>
      </c>
      <c r="G100" s="5" t="s">
        <v>372</v>
      </c>
      <c r="H100" s="7" t="s">
        <v>553</v>
      </c>
    </row>
    <row r="101" spans="1:8" ht="30" hidden="1" customHeight="1" outlineLevel="1">
      <c r="A101" s="5" t="s">
        <v>14</v>
      </c>
      <c r="B101" s="5" t="s">
        <v>554</v>
      </c>
      <c r="C101" s="5" t="s">
        <v>555</v>
      </c>
      <c r="D101" s="6">
        <v>330000000</v>
      </c>
      <c r="E101" s="8">
        <v>45747.657638888893</v>
      </c>
      <c r="F101" s="5" t="s">
        <v>355</v>
      </c>
      <c r="G101" s="5" t="s">
        <v>372</v>
      </c>
      <c r="H101" s="7" t="s">
        <v>556</v>
      </c>
    </row>
    <row r="102" spans="1:8" ht="30" hidden="1" customHeight="1" outlineLevel="1">
      <c r="A102" s="5" t="s">
        <v>14</v>
      </c>
      <c r="B102" s="5" t="s">
        <v>414</v>
      </c>
      <c r="C102" s="5" t="s">
        <v>415</v>
      </c>
      <c r="D102" s="6">
        <v>483000000</v>
      </c>
      <c r="E102" s="8">
        <v>45743.609027777777</v>
      </c>
      <c r="F102" s="5" t="s">
        <v>355</v>
      </c>
      <c r="G102" s="5" t="s">
        <v>372</v>
      </c>
      <c r="H102" s="7" t="s">
        <v>416</v>
      </c>
    </row>
    <row r="103" spans="1:8" ht="30" hidden="1" customHeight="1" outlineLevel="1">
      <c r="A103" s="5" t="s">
        <v>14</v>
      </c>
      <c r="B103" s="5" t="s">
        <v>517</v>
      </c>
      <c r="C103" s="5" t="s">
        <v>434</v>
      </c>
      <c r="D103" s="6">
        <v>275000000</v>
      </c>
      <c r="E103" s="8">
        <v>45722.538888888892</v>
      </c>
      <c r="F103" s="5" t="s">
        <v>355</v>
      </c>
      <c r="G103" s="5" t="s">
        <v>372</v>
      </c>
      <c r="H103" s="7" t="s">
        <v>518</v>
      </c>
    </row>
    <row r="104" spans="1:8" ht="30" hidden="1" customHeight="1" outlineLevel="1">
      <c r="A104" s="5" t="s">
        <v>12</v>
      </c>
      <c r="B104" s="5" t="s">
        <v>557</v>
      </c>
      <c r="C104" s="5" t="s">
        <v>558</v>
      </c>
      <c r="D104" s="6">
        <v>130000000</v>
      </c>
      <c r="E104" s="8">
        <v>45708.439583333333</v>
      </c>
      <c r="F104" s="5" t="s">
        <v>355</v>
      </c>
      <c r="G104" s="5" t="s">
        <v>372</v>
      </c>
      <c r="H104" s="7" t="s">
        <v>559</v>
      </c>
    </row>
    <row r="105" spans="1:8" ht="30" hidden="1" customHeight="1" outlineLevel="1">
      <c r="A105" s="5" t="s">
        <v>12</v>
      </c>
      <c r="B105" s="5" t="s">
        <v>427</v>
      </c>
      <c r="C105" s="5" t="s">
        <v>428</v>
      </c>
      <c r="D105" s="6">
        <v>221585600</v>
      </c>
      <c r="E105" s="8">
        <v>45698.609027777777</v>
      </c>
      <c r="F105" s="5" t="s">
        <v>355</v>
      </c>
      <c r="G105" s="5" t="s">
        <v>422</v>
      </c>
      <c r="H105" s="7" t="s">
        <v>429</v>
      </c>
    </row>
    <row r="106" spans="1:8" ht="30" hidden="1" customHeight="1" outlineLevel="1">
      <c r="A106" s="5" t="s">
        <v>14</v>
      </c>
      <c r="B106" s="5" t="s">
        <v>560</v>
      </c>
      <c r="C106" s="5" t="s">
        <v>434</v>
      </c>
      <c r="D106" s="6">
        <v>140000000</v>
      </c>
      <c r="E106" s="8">
        <v>45681.563194444447</v>
      </c>
      <c r="F106" s="5" t="s">
        <v>355</v>
      </c>
      <c r="G106" s="5" t="s">
        <v>422</v>
      </c>
      <c r="H106" s="7" t="s">
        <v>561</v>
      </c>
    </row>
    <row r="107" spans="1:8" ht="30" hidden="1" customHeight="1" outlineLevel="1">
      <c r="A107" s="5" t="s">
        <v>14</v>
      </c>
      <c r="B107" s="5" t="s">
        <v>433</v>
      </c>
      <c r="C107" s="5" t="s">
        <v>434</v>
      </c>
      <c r="D107" s="6">
        <v>150000000</v>
      </c>
      <c r="E107" s="8">
        <v>45681.561805555553</v>
      </c>
      <c r="F107" s="5" t="s">
        <v>355</v>
      </c>
      <c r="G107" s="5" t="s">
        <v>422</v>
      </c>
      <c r="H107" s="7" t="s">
        <v>435</v>
      </c>
    </row>
    <row r="108" spans="1:8" ht="30" hidden="1" customHeight="1" outlineLevel="1">
      <c r="A108" s="5" t="s">
        <v>13</v>
      </c>
      <c r="B108" s="5" t="s">
        <v>562</v>
      </c>
      <c r="C108" s="5" t="s">
        <v>563</v>
      </c>
      <c r="D108" s="6">
        <v>155000000</v>
      </c>
      <c r="E108" s="8">
        <v>45677.828472222223</v>
      </c>
      <c r="F108" s="5" t="s">
        <v>355</v>
      </c>
      <c r="G108" s="5" t="s">
        <v>422</v>
      </c>
      <c r="H108" s="7" t="s">
        <v>564</v>
      </c>
    </row>
    <row r="109" spans="1:8" ht="30" hidden="1" customHeight="1" outlineLevel="1">
      <c r="A109" s="5" t="s">
        <v>14</v>
      </c>
      <c r="B109" s="5" t="s">
        <v>436</v>
      </c>
      <c r="C109" s="5" t="s">
        <v>388</v>
      </c>
      <c r="D109" s="6">
        <v>175000000</v>
      </c>
      <c r="E109" s="8">
        <v>45677.425694444442</v>
      </c>
      <c r="F109" s="5" t="s">
        <v>355</v>
      </c>
      <c r="G109" s="5" t="s">
        <v>422</v>
      </c>
      <c r="H109" s="7" t="s">
        <v>437</v>
      </c>
    </row>
    <row r="110" spans="1:8" ht="30" hidden="1" customHeight="1" outlineLevel="1">
      <c r="A110" s="5" t="s">
        <v>14</v>
      </c>
      <c r="B110" s="5" t="s">
        <v>565</v>
      </c>
      <c r="C110" s="5" t="s">
        <v>368</v>
      </c>
      <c r="D110" s="6">
        <v>600000000</v>
      </c>
      <c r="E110" s="8">
        <v>45667.556250000001</v>
      </c>
      <c r="F110" s="5" t="s">
        <v>355</v>
      </c>
      <c r="G110" s="5" t="s">
        <v>372</v>
      </c>
      <c r="H110" s="7" t="s">
        <v>566</v>
      </c>
    </row>
    <row r="111" spans="1:8" ht="30" hidden="1" customHeight="1" outlineLevel="1">
      <c r="A111" s="5" t="s">
        <v>14</v>
      </c>
      <c r="B111" s="5" t="s">
        <v>567</v>
      </c>
      <c r="C111" s="5" t="s">
        <v>568</v>
      </c>
      <c r="D111" s="6">
        <v>85000000</v>
      </c>
      <c r="E111" s="8">
        <v>45489.723611111112</v>
      </c>
      <c r="F111" s="5" t="s">
        <v>62</v>
      </c>
      <c r="G111" s="5" t="s">
        <v>441</v>
      </c>
      <c r="H111" s="7" t="s">
        <v>569</v>
      </c>
    </row>
    <row r="112" spans="1:8" ht="30" hidden="1" customHeight="1" outlineLevel="1">
      <c r="A112" s="5" t="s">
        <v>14</v>
      </c>
      <c r="B112" s="5" t="s">
        <v>420</v>
      </c>
      <c r="C112" s="5" t="s">
        <v>421</v>
      </c>
      <c r="D112" s="6">
        <v>200000000</v>
      </c>
      <c r="E112" s="8">
        <v>45350.63958333333</v>
      </c>
      <c r="F112" s="5" t="s">
        <v>355</v>
      </c>
      <c r="G112" s="5" t="s">
        <v>441</v>
      </c>
      <c r="H112" s="7" t="s">
        <v>460</v>
      </c>
    </row>
    <row r="113" spans="1:8" ht="30" hidden="1" customHeight="1" outlineLevel="1">
      <c r="A113" s="5" t="s">
        <v>14</v>
      </c>
      <c r="B113" s="5" t="s">
        <v>529</v>
      </c>
      <c r="C113" s="5" t="s">
        <v>434</v>
      </c>
      <c r="D113" s="6">
        <v>180000000</v>
      </c>
      <c r="E113" s="8">
        <v>45341.572916666657</v>
      </c>
      <c r="F113" s="5" t="s">
        <v>355</v>
      </c>
      <c r="G113" s="5" t="s">
        <v>441</v>
      </c>
      <c r="H113" s="7" t="s">
        <v>530</v>
      </c>
    </row>
    <row r="114" spans="1:8" ht="30" hidden="1" customHeight="1" outlineLevel="1">
      <c r="A114" s="5" t="s">
        <v>14</v>
      </c>
      <c r="B114" s="5" t="s">
        <v>531</v>
      </c>
      <c r="C114" s="5" t="s">
        <v>428</v>
      </c>
      <c r="D114" s="6">
        <v>191490900</v>
      </c>
      <c r="E114" s="8">
        <v>45338.544444444437</v>
      </c>
      <c r="F114" s="5" t="s">
        <v>355</v>
      </c>
      <c r="G114" s="5" t="s">
        <v>422</v>
      </c>
      <c r="H114" s="7" t="s">
        <v>532</v>
      </c>
    </row>
    <row r="115" spans="1:8" ht="30" hidden="1" customHeight="1" outlineLevel="1">
      <c r="A115" s="5" t="s">
        <v>14</v>
      </c>
      <c r="B115" s="5" t="s">
        <v>570</v>
      </c>
      <c r="C115" s="5" t="s">
        <v>368</v>
      </c>
      <c r="D115" s="6">
        <v>400000000</v>
      </c>
      <c r="E115" s="8">
        <v>45337.634722222218</v>
      </c>
      <c r="F115" s="5" t="s">
        <v>355</v>
      </c>
      <c r="G115" s="5" t="s">
        <v>441</v>
      </c>
      <c r="H115" s="7" t="s">
        <v>571</v>
      </c>
    </row>
    <row r="116" spans="1:8" ht="30" hidden="1" customHeight="1" outlineLevel="1">
      <c r="A116" s="5" t="s">
        <v>14</v>
      </c>
      <c r="B116" s="5" t="s">
        <v>465</v>
      </c>
      <c r="C116" s="5" t="s">
        <v>388</v>
      </c>
      <c r="D116" s="6">
        <v>158000000</v>
      </c>
      <c r="E116" s="8">
        <v>45327.409722222219</v>
      </c>
      <c r="F116" s="5" t="s">
        <v>355</v>
      </c>
      <c r="G116" s="5" t="s">
        <v>441</v>
      </c>
      <c r="H116" s="7" t="s">
        <v>466</v>
      </c>
    </row>
    <row r="117" spans="1:8" ht="58" customHeight="1" collapsed="1">
      <c r="A117" s="12" t="s">
        <v>72</v>
      </c>
      <c r="B117" s="13" t="s">
        <v>65</v>
      </c>
      <c r="C117" s="14" t="s">
        <v>66</v>
      </c>
      <c r="D117" s="15">
        <v>20</v>
      </c>
      <c r="E117" s="15">
        <v>20</v>
      </c>
      <c r="F117" s="15">
        <v>3</v>
      </c>
      <c r="G117" s="15">
        <v>17</v>
      </c>
      <c r="H117" s="13" t="s">
        <v>572</v>
      </c>
    </row>
    <row r="118" spans="1:8" ht="32" hidden="1" customHeight="1" outlineLevel="1">
      <c r="A118" s="4" t="s">
        <v>6</v>
      </c>
      <c r="B118" s="4" t="s">
        <v>17</v>
      </c>
      <c r="C118" s="4" t="s">
        <v>18</v>
      </c>
      <c r="D118" s="4" t="s">
        <v>19</v>
      </c>
      <c r="E118" s="4" t="s">
        <v>21</v>
      </c>
      <c r="F118" s="4" t="s">
        <v>357</v>
      </c>
      <c r="G118" s="4" t="s">
        <v>358</v>
      </c>
      <c r="H118" s="4" t="s">
        <v>359</v>
      </c>
    </row>
    <row r="119" spans="1:8" ht="30" hidden="1" customHeight="1" outlineLevel="1">
      <c r="A119" s="5" t="s">
        <v>13</v>
      </c>
      <c r="B119" s="5" t="s">
        <v>573</v>
      </c>
      <c r="C119" s="5" t="s">
        <v>574</v>
      </c>
      <c r="D119" s="6">
        <v>337899320</v>
      </c>
      <c r="E119" s="8">
        <v>46092.643750000003</v>
      </c>
      <c r="F119" s="5" t="s">
        <v>355</v>
      </c>
      <c r="G119" s="5" t="s">
        <v>372</v>
      </c>
      <c r="H119" s="7" t="s">
        <v>575</v>
      </c>
    </row>
    <row r="120" spans="1:8" ht="30" hidden="1" customHeight="1" outlineLevel="1">
      <c r="A120" s="5" t="s">
        <v>12</v>
      </c>
      <c r="B120" s="5" t="s">
        <v>576</v>
      </c>
      <c r="C120" s="5" t="s">
        <v>577</v>
      </c>
      <c r="D120" s="6">
        <v>29930000</v>
      </c>
      <c r="E120" s="8">
        <v>46048.479861111111</v>
      </c>
      <c r="F120" s="5" t="s">
        <v>355</v>
      </c>
      <c r="G120" s="5" t="s">
        <v>578</v>
      </c>
      <c r="H120" s="7" t="s">
        <v>579</v>
      </c>
    </row>
    <row r="121" spans="1:8" ht="30" hidden="1" customHeight="1" outlineLevel="1">
      <c r="A121" s="5" t="s">
        <v>13</v>
      </c>
      <c r="B121" s="5" t="s">
        <v>580</v>
      </c>
      <c r="C121" s="5" t="s">
        <v>581</v>
      </c>
      <c r="D121" s="6">
        <v>210000000</v>
      </c>
      <c r="E121" s="8">
        <v>45999.672222222223</v>
      </c>
      <c r="F121" s="5" t="s">
        <v>355</v>
      </c>
      <c r="G121" s="5" t="s">
        <v>372</v>
      </c>
      <c r="H121" s="7" t="s">
        <v>582</v>
      </c>
    </row>
    <row r="122" spans="1:8" ht="30" hidden="1" customHeight="1" outlineLevel="1">
      <c r="A122" s="5" t="s">
        <v>12</v>
      </c>
      <c r="B122" s="5" t="s">
        <v>583</v>
      </c>
      <c r="C122" s="5" t="s">
        <v>584</v>
      </c>
      <c r="D122" s="6">
        <v>80000000</v>
      </c>
      <c r="E122" s="8">
        <v>45982.498611111107</v>
      </c>
      <c r="F122" s="5" t="s">
        <v>355</v>
      </c>
      <c r="G122" s="5" t="s">
        <v>372</v>
      </c>
      <c r="H122" s="7" t="s">
        <v>585</v>
      </c>
    </row>
    <row r="123" spans="1:8" ht="30" hidden="1" customHeight="1" outlineLevel="1">
      <c r="A123" s="5" t="s">
        <v>12</v>
      </c>
      <c r="B123" s="5" t="s">
        <v>490</v>
      </c>
      <c r="C123" s="5" t="s">
        <v>491</v>
      </c>
      <c r="D123" s="6">
        <v>54000000</v>
      </c>
      <c r="E123" s="8">
        <v>45978.477777777778</v>
      </c>
      <c r="F123" s="5" t="s">
        <v>355</v>
      </c>
      <c r="G123" s="5" t="s">
        <v>372</v>
      </c>
      <c r="H123" s="7" t="s">
        <v>492</v>
      </c>
    </row>
    <row r="124" spans="1:8" ht="30" hidden="1" customHeight="1" outlineLevel="1">
      <c r="A124" s="5" t="s">
        <v>12</v>
      </c>
      <c r="B124" s="5" t="s">
        <v>586</v>
      </c>
      <c r="C124" s="5" t="s">
        <v>587</v>
      </c>
      <c r="D124" s="6">
        <v>390000000</v>
      </c>
      <c r="E124" s="8">
        <v>45898.763194444437</v>
      </c>
      <c r="F124" s="5" t="s">
        <v>355</v>
      </c>
      <c r="G124" s="5" t="s">
        <v>372</v>
      </c>
      <c r="H124" s="7" t="s">
        <v>588</v>
      </c>
    </row>
    <row r="125" spans="1:8" ht="30" hidden="1" customHeight="1" outlineLevel="1">
      <c r="A125" s="5" t="s">
        <v>14</v>
      </c>
      <c r="B125" s="5" t="s">
        <v>589</v>
      </c>
      <c r="C125" s="5" t="s">
        <v>577</v>
      </c>
      <c r="D125" s="6">
        <v>110000000</v>
      </c>
      <c r="E125" s="8">
        <v>45784.394444444442</v>
      </c>
      <c r="F125" s="5" t="s">
        <v>355</v>
      </c>
      <c r="G125" s="5" t="s">
        <v>372</v>
      </c>
      <c r="H125" s="7" t="s">
        <v>590</v>
      </c>
    </row>
    <row r="126" spans="1:8" ht="30" hidden="1" customHeight="1" outlineLevel="1">
      <c r="A126" s="5" t="s">
        <v>12</v>
      </c>
      <c r="B126" s="5" t="s">
        <v>510</v>
      </c>
      <c r="C126" s="5" t="s">
        <v>48</v>
      </c>
      <c r="D126" s="6">
        <v>120000000</v>
      </c>
      <c r="E126" s="8">
        <v>45742.63958333333</v>
      </c>
      <c r="F126" s="5" t="s">
        <v>355</v>
      </c>
      <c r="G126" s="5" t="s">
        <v>372</v>
      </c>
      <c r="H126" s="7" t="s">
        <v>511</v>
      </c>
    </row>
    <row r="127" spans="1:8" ht="30" hidden="1" customHeight="1" outlineLevel="1">
      <c r="A127" s="5" t="s">
        <v>14</v>
      </c>
      <c r="B127" s="5" t="s">
        <v>424</v>
      </c>
      <c r="C127" s="5" t="s">
        <v>425</v>
      </c>
      <c r="D127" s="6">
        <v>1600000000</v>
      </c>
      <c r="E127" s="8">
        <v>45698.765972222223</v>
      </c>
      <c r="F127" s="5" t="s">
        <v>355</v>
      </c>
      <c r="G127" s="5" t="s">
        <v>422</v>
      </c>
      <c r="H127" s="7" t="s">
        <v>426</v>
      </c>
    </row>
    <row r="128" spans="1:8" ht="30" hidden="1" customHeight="1" outlineLevel="1">
      <c r="A128" s="5" t="s">
        <v>12</v>
      </c>
      <c r="B128" s="5" t="s">
        <v>591</v>
      </c>
      <c r="C128" s="5" t="s">
        <v>577</v>
      </c>
      <c r="D128" s="6">
        <v>30000000</v>
      </c>
      <c r="E128" s="8">
        <v>45681.604166666657</v>
      </c>
      <c r="F128" s="5" t="s">
        <v>355</v>
      </c>
      <c r="G128" s="5" t="s">
        <v>592</v>
      </c>
      <c r="H128" s="7" t="s">
        <v>593</v>
      </c>
    </row>
    <row r="129" spans="1:8" ht="30" hidden="1" customHeight="1" outlineLevel="1">
      <c r="A129" s="5" t="s">
        <v>13</v>
      </c>
      <c r="B129" s="5" t="s">
        <v>562</v>
      </c>
      <c r="C129" s="5" t="s">
        <v>563</v>
      </c>
      <c r="D129" s="6">
        <v>155000000</v>
      </c>
      <c r="E129" s="8">
        <v>45677.828472222223</v>
      </c>
      <c r="F129" s="5" t="s">
        <v>355</v>
      </c>
      <c r="G129" s="5" t="s">
        <v>422</v>
      </c>
      <c r="H129" s="7" t="s">
        <v>564</v>
      </c>
    </row>
    <row r="130" spans="1:8" ht="30" hidden="1" customHeight="1" outlineLevel="1">
      <c r="A130" s="5" t="s">
        <v>13</v>
      </c>
      <c r="B130" s="5" t="s">
        <v>594</v>
      </c>
      <c r="C130" s="5" t="s">
        <v>41</v>
      </c>
      <c r="D130" s="6">
        <v>57500000</v>
      </c>
      <c r="E130" s="8">
        <v>45567.638888888891</v>
      </c>
      <c r="F130" s="5" t="s">
        <v>62</v>
      </c>
      <c r="G130" s="5" t="s">
        <v>441</v>
      </c>
      <c r="H130" s="7" t="s">
        <v>595</v>
      </c>
    </row>
    <row r="131" spans="1:8" ht="30" hidden="1" customHeight="1" outlineLevel="1">
      <c r="A131" s="5" t="s">
        <v>12</v>
      </c>
      <c r="B131" s="5" t="s">
        <v>596</v>
      </c>
      <c r="C131" s="5" t="s">
        <v>577</v>
      </c>
      <c r="D131" s="6">
        <v>30000000</v>
      </c>
      <c r="E131" s="8">
        <v>45540.593055555553</v>
      </c>
      <c r="F131" s="5" t="s">
        <v>62</v>
      </c>
      <c r="G131" s="5" t="s">
        <v>597</v>
      </c>
      <c r="H131" s="7" t="s">
        <v>598</v>
      </c>
    </row>
    <row r="132" spans="1:8" ht="30" hidden="1" customHeight="1" outlineLevel="1">
      <c r="A132" s="5" t="s">
        <v>13</v>
      </c>
      <c r="B132" s="5" t="s">
        <v>37</v>
      </c>
      <c r="C132" s="5" t="s">
        <v>38</v>
      </c>
      <c r="D132" s="6">
        <v>75000000</v>
      </c>
      <c r="E132" s="8">
        <v>45518.630555555559</v>
      </c>
      <c r="F132" s="5" t="s">
        <v>62</v>
      </c>
      <c r="G132" s="5" t="s">
        <v>441</v>
      </c>
      <c r="H132" s="7" t="s">
        <v>599</v>
      </c>
    </row>
    <row r="133" spans="1:8" ht="30" hidden="1" customHeight="1" outlineLevel="1">
      <c r="A133" s="5" t="s">
        <v>13</v>
      </c>
      <c r="B133" s="5" t="s">
        <v>600</v>
      </c>
      <c r="C133" s="5" t="s">
        <v>563</v>
      </c>
      <c r="D133" s="6">
        <v>113000000</v>
      </c>
      <c r="E133" s="8">
        <v>45441.434027777781</v>
      </c>
      <c r="F133" s="5" t="s">
        <v>355</v>
      </c>
      <c r="G133" s="5" t="s">
        <v>441</v>
      </c>
      <c r="H133" s="7" t="s">
        <v>601</v>
      </c>
    </row>
    <row r="134" spans="1:8" ht="30" hidden="1" customHeight="1" outlineLevel="1">
      <c r="A134" s="5" t="s">
        <v>14</v>
      </c>
      <c r="B134" s="5" t="s">
        <v>527</v>
      </c>
      <c r="C134" s="5" t="s">
        <v>415</v>
      </c>
      <c r="D134" s="6">
        <v>520000000</v>
      </c>
      <c r="E134" s="8">
        <v>45393.584027777782</v>
      </c>
      <c r="F134" s="5" t="s">
        <v>355</v>
      </c>
      <c r="G134" s="5" t="s">
        <v>441</v>
      </c>
      <c r="H134" s="7" t="s">
        <v>528</v>
      </c>
    </row>
    <row r="135" spans="1:8" ht="30" hidden="1" customHeight="1" outlineLevel="1">
      <c r="A135" s="5" t="s">
        <v>14</v>
      </c>
      <c r="B135" s="5" t="s">
        <v>602</v>
      </c>
      <c r="C135" s="5" t="s">
        <v>48</v>
      </c>
      <c r="D135" s="6">
        <v>98000000</v>
      </c>
      <c r="E135" s="8">
        <v>45393.470833333333</v>
      </c>
      <c r="F135" s="5" t="s">
        <v>355</v>
      </c>
      <c r="G135" s="5" t="s">
        <v>441</v>
      </c>
      <c r="H135" s="7" t="s">
        <v>603</v>
      </c>
    </row>
    <row r="136" spans="1:8" ht="30" hidden="1" customHeight="1" outlineLevel="1">
      <c r="A136" s="5" t="s">
        <v>14</v>
      </c>
      <c r="B136" s="5" t="s">
        <v>604</v>
      </c>
      <c r="C136" s="5" t="s">
        <v>48</v>
      </c>
      <c r="D136" s="6">
        <v>50000000</v>
      </c>
      <c r="E136" s="8">
        <v>45358.454861111109</v>
      </c>
      <c r="F136" s="5" t="s">
        <v>355</v>
      </c>
      <c r="G136" s="5" t="s">
        <v>441</v>
      </c>
      <c r="H136" s="7" t="s">
        <v>605</v>
      </c>
    </row>
    <row r="137" spans="1:8" ht="30" hidden="1" customHeight="1" outlineLevel="1">
      <c r="A137" s="5" t="s">
        <v>14</v>
      </c>
      <c r="B137" s="5" t="s">
        <v>606</v>
      </c>
      <c r="C137" s="5" t="s">
        <v>607</v>
      </c>
      <c r="D137" s="6">
        <v>250000000</v>
      </c>
      <c r="E137" s="8">
        <v>45349.710416666669</v>
      </c>
      <c r="F137" s="5" t="s">
        <v>355</v>
      </c>
      <c r="G137" s="5" t="s">
        <v>441</v>
      </c>
      <c r="H137" s="7" t="s">
        <v>608</v>
      </c>
    </row>
    <row r="138" spans="1:8" ht="30" hidden="1" customHeight="1" outlineLevel="1">
      <c r="A138" s="5" t="s">
        <v>12</v>
      </c>
      <c r="B138" s="5" t="s">
        <v>609</v>
      </c>
      <c r="C138" s="5" t="s">
        <v>610</v>
      </c>
      <c r="D138" s="6">
        <v>195784400</v>
      </c>
      <c r="E138" s="8">
        <v>45321.743750000001</v>
      </c>
      <c r="F138" s="5" t="s">
        <v>355</v>
      </c>
      <c r="G138" s="5" t="s">
        <v>422</v>
      </c>
      <c r="H138" s="7" t="s">
        <v>611</v>
      </c>
    </row>
    <row r="139" spans="1:8" ht="58" customHeight="1" collapsed="1">
      <c r="A139" s="12" t="s">
        <v>74</v>
      </c>
      <c r="B139" s="13" t="s">
        <v>14</v>
      </c>
      <c r="C139" s="14" t="s">
        <v>66</v>
      </c>
      <c r="D139" s="15">
        <v>18</v>
      </c>
      <c r="E139" s="15">
        <v>18</v>
      </c>
      <c r="F139" s="15">
        <v>11</v>
      </c>
      <c r="G139" s="15">
        <v>7</v>
      </c>
      <c r="H139" s="13" t="s">
        <v>612</v>
      </c>
    </row>
    <row r="140" spans="1:8" ht="32" hidden="1" customHeight="1" outlineLevel="1">
      <c r="A140" s="4" t="s">
        <v>6</v>
      </c>
      <c r="B140" s="4" t="s">
        <v>17</v>
      </c>
      <c r="C140" s="4" t="s">
        <v>18</v>
      </c>
      <c r="D140" s="4" t="s">
        <v>19</v>
      </c>
      <c r="E140" s="4" t="s">
        <v>21</v>
      </c>
      <c r="F140" s="4" t="s">
        <v>357</v>
      </c>
      <c r="G140" s="4" t="s">
        <v>358</v>
      </c>
      <c r="H140" s="4" t="s">
        <v>359</v>
      </c>
    </row>
    <row r="141" spans="1:8" ht="30" hidden="1" customHeight="1" outlineLevel="1">
      <c r="A141" s="5" t="s">
        <v>14</v>
      </c>
      <c r="B141" s="5" t="s">
        <v>613</v>
      </c>
      <c r="C141" s="5" t="s">
        <v>614</v>
      </c>
      <c r="D141" s="6">
        <v>160000000</v>
      </c>
      <c r="E141" s="8">
        <v>46104.625</v>
      </c>
      <c r="F141" s="5" t="s">
        <v>355</v>
      </c>
      <c r="G141" s="5" t="s">
        <v>372</v>
      </c>
      <c r="H141" s="7" t="s">
        <v>615</v>
      </c>
    </row>
    <row r="142" spans="1:8" ht="30" hidden="1" customHeight="1" outlineLevel="1">
      <c r="A142" s="5" t="s">
        <v>14</v>
      </c>
      <c r="B142" s="5" t="s">
        <v>479</v>
      </c>
      <c r="C142" s="5" t="s">
        <v>434</v>
      </c>
      <c r="D142" s="6">
        <v>180000000</v>
      </c>
      <c r="E142" s="8">
        <v>46073.432638888888</v>
      </c>
      <c r="F142" s="5" t="s">
        <v>355</v>
      </c>
      <c r="G142" s="5" t="s">
        <v>372</v>
      </c>
      <c r="H142" s="7" t="s">
        <v>480</v>
      </c>
    </row>
    <row r="143" spans="1:8" ht="30" hidden="1" customHeight="1" outlineLevel="1">
      <c r="A143" s="5" t="s">
        <v>14</v>
      </c>
      <c r="B143" s="5" t="s">
        <v>481</v>
      </c>
      <c r="C143" s="5" t="s">
        <v>434</v>
      </c>
      <c r="D143" s="6">
        <v>300000000</v>
      </c>
      <c r="E143" s="8">
        <v>46073.428472222222</v>
      </c>
      <c r="F143" s="5" t="s">
        <v>355</v>
      </c>
      <c r="G143" s="5" t="s">
        <v>372</v>
      </c>
      <c r="H143" s="7" t="s">
        <v>482</v>
      </c>
    </row>
    <row r="144" spans="1:8" ht="30" hidden="1" customHeight="1" outlineLevel="1">
      <c r="A144" s="5" t="s">
        <v>14</v>
      </c>
      <c r="B144" s="5" t="s">
        <v>616</v>
      </c>
      <c r="C144" s="5" t="s">
        <v>431</v>
      </c>
      <c r="D144" s="6">
        <v>230000000</v>
      </c>
      <c r="E144" s="8">
        <v>46062.32916666667</v>
      </c>
      <c r="F144" s="5" t="s">
        <v>62</v>
      </c>
      <c r="G144" s="5" t="s">
        <v>372</v>
      </c>
      <c r="H144" s="7" t="s">
        <v>617</v>
      </c>
    </row>
    <row r="145" spans="1:8" ht="30" hidden="1" customHeight="1" outlineLevel="1">
      <c r="A145" s="5" t="s">
        <v>14</v>
      </c>
      <c r="B145" s="5" t="s">
        <v>618</v>
      </c>
      <c r="C145" s="5" t="s">
        <v>619</v>
      </c>
      <c r="D145" s="6">
        <v>242134000</v>
      </c>
      <c r="E145" s="8">
        <v>46058.43472222222</v>
      </c>
      <c r="F145" s="5" t="s">
        <v>62</v>
      </c>
      <c r="G145" s="5" t="s">
        <v>372</v>
      </c>
      <c r="H145" s="7" t="s">
        <v>620</v>
      </c>
    </row>
    <row r="146" spans="1:8" ht="30" hidden="1" customHeight="1" outlineLevel="1">
      <c r="A146" s="5" t="s">
        <v>14</v>
      </c>
      <c r="B146" s="5" t="s">
        <v>621</v>
      </c>
      <c r="C146" s="5" t="s">
        <v>622</v>
      </c>
      <c r="D146" s="6">
        <v>200000000</v>
      </c>
      <c r="E146" s="8">
        <v>45873.473611111112</v>
      </c>
      <c r="F146" s="5" t="s">
        <v>355</v>
      </c>
      <c r="G146" s="5" t="s">
        <v>372</v>
      </c>
      <c r="H146" s="7" t="s">
        <v>623</v>
      </c>
    </row>
    <row r="147" spans="1:8" ht="30" hidden="1" customHeight="1" outlineLevel="1">
      <c r="A147" s="5" t="s">
        <v>14</v>
      </c>
      <c r="B147" s="5" t="s">
        <v>398</v>
      </c>
      <c r="C147" s="5" t="s">
        <v>399</v>
      </c>
      <c r="D147" s="6">
        <v>110000000</v>
      </c>
      <c r="E147" s="8">
        <v>45812.573611111111</v>
      </c>
      <c r="F147" s="5" t="s">
        <v>62</v>
      </c>
      <c r="G147" s="5" t="s">
        <v>372</v>
      </c>
      <c r="H147" s="7" t="s">
        <v>400</v>
      </c>
    </row>
    <row r="148" spans="1:8" ht="30" hidden="1" customHeight="1" outlineLevel="1">
      <c r="A148" s="5" t="s">
        <v>14</v>
      </c>
      <c r="B148" s="5" t="s">
        <v>624</v>
      </c>
      <c r="C148" s="5" t="s">
        <v>614</v>
      </c>
      <c r="D148" s="6">
        <v>100000000</v>
      </c>
      <c r="E148" s="8">
        <v>45803.603472222218</v>
      </c>
      <c r="F148" s="5" t="s">
        <v>62</v>
      </c>
      <c r="G148" s="5" t="s">
        <v>372</v>
      </c>
      <c r="H148" s="7" t="s">
        <v>625</v>
      </c>
    </row>
    <row r="149" spans="1:8" ht="30" hidden="1" customHeight="1" outlineLevel="1">
      <c r="A149" s="5" t="s">
        <v>14</v>
      </c>
      <c r="B149" s="5" t="s">
        <v>626</v>
      </c>
      <c r="C149" s="5" t="s">
        <v>415</v>
      </c>
      <c r="D149" s="6">
        <v>82000000</v>
      </c>
      <c r="E149" s="8">
        <v>45754.677083333343</v>
      </c>
      <c r="F149" s="5" t="s">
        <v>62</v>
      </c>
      <c r="G149" s="5" t="s">
        <v>372</v>
      </c>
      <c r="H149" s="7" t="s">
        <v>627</v>
      </c>
    </row>
    <row r="150" spans="1:8" ht="30" hidden="1" customHeight="1" outlineLevel="1">
      <c r="A150" s="5" t="s">
        <v>14</v>
      </c>
      <c r="B150" s="5" t="s">
        <v>508</v>
      </c>
      <c r="C150" s="5" t="s">
        <v>434</v>
      </c>
      <c r="D150" s="6">
        <v>138000000</v>
      </c>
      <c r="E150" s="8">
        <v>45751.648611111108</v>
      </c>
      <c r="F150" s="5" t="s">
        <v>355</v>
      </c>
      <c r="G150" s="5" t="s">
        <v>372</v>
      </c>
      <c r="H150" s="7" t="s">
        <v>509</v>
      </c>
    </row>
    <row r="151" spans="1:8" ht="30" hidden="1" customHeight="1" outlineLevel="1">
      <c r="A151" s="5" t="s">
        <v>14</v>
      </c>
      <c r="B151" s="5" t="s">
        <v>414</v>
      </c>
      <c r="C151" s="5" t="s">
        <v>415</v>
      </c>
      <c r="D151" s="6">
        <v>483000000</v>
      </c>
      <c r="E151" s="8">
        <v>45743.609027777777</v>
      </c>
      <c r="F151" s="5" t="s">
        <v>62</v>
      </c>
      <c r="G151" s="5" t="s">
        <v>372</v>
      </c>
      <c r="H151" s="7" t="s">
        <v>416</v>
      </c>
    </row>
    <row r="152" spans="1:8" ht="30" hidden="1" customHeight="1" outlineLevel="1">
      <c r="A152" s="5" t="s">
        <v>14</v>
      </c>
      <c r="B152" s="5" t="s">
        <v>628</v>
      </c>
      <c r="C152" s="5" t="s">
        <v>607</v>
      </c>
      <c r="D152" s="6">
        <v>227997000</v>
      </c>
      <c r="E152" s="8">
        <v>45727.445833333331</v>
      </c>
      <c r="F152" s="5" t="s">
        <v>62</v>
      </c>
      <c r="G152" s="5" t="s">
        <v>372</v>
      </c>
      <c r="H152" s="7" t="s">
        <v>629</v>
      </c>
    </row>
    <row r="153" spans="1:8" ht="30" hidden="1" customHeight="1" outlineLevel="1">
      <c r="A153" s="5" t="s">
        <v>14</v>
      </c>
      <c r="B153" s="5" t="s">
        <v>517</v>
      </c>
      <c r="C153" s="5" t="s">
        <v>434</v>
      </c>
      <c r="D153" s="6">
        <v>275000000</v>
      </c>
      <c r="E153" s="8">
        <v>45722.538888888892</v>
      </c>
      <c r="F153" s="5" t="s">
        <v>355</v>
      </c>
      <c r="G153" s="5" t="s">
        <v>372</v>
      </c>
      <c r="H153" s="7" t="s">
        <v>518</v>
      </c>
    </row>
    <row r="154" spans="1:8" ht="30" hidden="1" customHeight="1" outlineLevel="1">
      <c r="A154" s="5" t="s">
        <v>14</v>
      </c>
      <c r="B154" s="5" t="s">
        <v>430</v>
      </c>
      <c r="C154" s="5" t="s">
        <v>431</v>
      </c>
      <c r="D154" s="6">
        <v>180000000</v>
      </c>
      <c r="E154" s="8">
        <v>45691.686111111107</v>
      </c>
      <c r="F154" s="5" t="s">
        <v>62</v>
      </c>
      <c r="G154" s="5" t="s">
        <v>422</v>
      </c>
      <c r="H154" s="7" t="s">
        <v>432</v>
      </c>
    </row>
    <row r="155" spans="1:8" ht="30" hidden="1" customHeight="1" outlineLevel="1">
      <c r="A155" s="5" t="s">
        <v>14</v>
      </c>
      <c r="B155" s="5" t="s">
        <v>630</v>
      </c>
      <c r="C155" s="5" t="s">
        <v>614</v>
      </c>
      <c r="D155" s="6">
        <v>159000000</v>
      </c>
      <c r="E155" s="8">
        <v>45399.548611111109</v>
      </c>
      <c r="F155" s="5" t="s">
        <v>62</v>
      </c>
      <c r="G155" s="5" t="s">
        <v>441</v>
      </c>
      <c r="H155" s="7" t="s">
        <v>631</v>
      </c>
    </row>
    <row r="156" spans="1:8" ht="30" hidden="1" customHeight="1" outlineLevel="1">
      <c r="A156" s="5" t="s">
        <v>14</v>
      </c>
      <c r="B156" s="5" t="s">
        <v>527</v>
      </c>
      <c r="C156" s="5" t="s">
        <v>415</v>
      </c>
      <c r="D156" s="6">
        <v>520000000</v>
      </c>
      <c r="E156" s="8">
        <v>45393.584027777782</v>
      </c>
      <c r="F156" s="5" t="s">
        <v>62</v>
      </c>
      <c r="G156" s="5" t="s">
        <v>441</v>
      </c>
      <c r="H156" s="7" t="s">
        <v>528</v>
      </c>
    </row>
    <row r="157" spans="1:8" ht="30" hidden="1" customHeight="1" outlineLevel="1">
      <c r="A157" s="5" t="s">
        <v>14</v>
      </c>
      <c r="B157" s="5" t="s">
        <v>451</v>
      </c>
      <c r="C157" s="5" t="s">
        <v>452</v>
      </c>
      <c r="D157" s="6">
        <v>200000000</v>
      </c>
      <c r="E157" s="8">
        <v>45384.402777777781</v>
      </c>
      <c r="F157" s="5" t="s">
        <v>355</v>
      </c>
      <c r="G157" s="5" t="s">
        <v>441</v>
      </c>
      <c r="H157" s="7" t="s">
        <v>453</v>
      </c>
    </row>
    <row r="158" spans="1:8" ht="30" hidden="1" customHeight="1" outlineLevel="1">
      <c r="A158" s="5" t="s">
        <v>14</v>
      </c>
      <c r="B158" s="5" t="s">
        <v>606</v>
      </c>
      <c r="C158" s="5" t="s">
        <v>607</v>
      </c>
      <c r="D158" s="6">
        <v>250000000</v>
      </c>
      <c r="E158" s="8">
        <v>45349.710416666669</v>
      </c>
      <c r="F158" s="5" t="s">
        <v>62</v>
      </c>
      <c r="G158" s="5" t="s">
        <v>441</v>
      </c>
      <c r="H158" s="7" t="s">
        <v>608</v>
      </c>
    </row>
    <row r="159" spans="1:8" ht="58" customHeight="1" collapsed="1">
      <c r="A159" s="12" t="s">
        <v>632</v>
      </c>
      <c r="B159" s="13" t="s">
        <v>65</v>
      </c>
      <c r="C159" s="14" t="s">
        <v>66</v>
      </c>
      <c r="D159" s="15">
        <v>18</v>
      </c>
      <c r="E159" s="15">
        <v>18</v>
      </c>
      <c r="F159" s="15">
        <v>4</v>
      </c>
      <c r="G159" s="15">
        <v>14</v>
      </c>
      <c r="H159" s="13" t="s">
        <v>633</v>
      </c>
    </row>
    <row r="160" spans="1:8" ht="32" hidden="1" customHeight="1" outlineLevel="1">
      <c r="A160" s="4" t="s">
        <v>6</v>
      </c>
      <c r="B160" s="4" t="s">
        <v>17</v>
      </c>
      <c r="C160" s="4" t="s">
        <v>18</v>
      </c>
      <c r="D160" s="4" t="s">
        <v>19</v>
      </c>
      <c r="E160" s="4" t="s">
        <v>21</v>
      </c>
      <c r="F160" s="4" t="s">
        <v>357</v>
      </c>
      <c r="G160" s="4" t="s">
        <v>358</v>
      </c>
      <c r="H160" s="4" t="s">
        <v>359</v>
      </c>
    </row>
    <row r="161" spans="1:8" ht="30" hidden="1" customHeight="1" outlineLevel="1">
      <c r="A161" s="5" t="s">
        <v>14</v>
      </c>
      <c r="B161" s="5" t="s">
        <v>370</v>
      </c>
      <c r="C161" s="5" t="s">
        <v>371</v>
      </c>
      <c r="D161" s="6">
        <v>175000000</v>
      </c>
      <c r="E161" s="8">
        <v>46111.349305555559</v>
      </c>
      <c r="F161" s="5" t="s">
        <v>355</v>
      </c>
      <c r="G161" s="5" t="s">
        <v>372</v>
      </c>
      <c r="H161" s="7" t="s">
        <v>373</v>
      </c>
    </row>
    <row r="162" spans="1:8" ht="30" hidden="1" customHeight="1" outlineLevel="1">
      <c r="A162" s="5" t="s">
        <v>14</v>
      </c>
      <c r="B162" s="5" t="s">
        <v>370</v>
      </c>
      <c r="C162" s="5" t="s">
        <v>371</v>
      </c>
      <c r="D162" s="6">
        <v>175000000</v>
      </c>
      <c r="E162" s="8">
        <v>46111.344444444447</v>
      </c>
      <c r="F162" s="5" t="s">
        <v>355</v>
      </c>
      <c r="G162" s="5" t="s">
        <v>372</v>
      </c>
      <c r="H162" s="7" t="s">
        <v>374</v>
      </c>
    </row>
    <row r="163" spans="1:8" ht="30" hidden="1" customHeight="1" outlineLevel="1">
      <c r="A163" s="5" t="s">
        <v>14</v>
      </c>
      <c r="B163" s="5" t="s">
        <v>370</v>
      </c>
      <c r="C163" s="5" t="s">
        <v>371</v>
      </c>
      <c r="D163" s="6">
        <v>175000000</v>
      </c>
      <c r="E163" s="8">
        <v>46111.343055555553</v>
      </c>
      <c r="F163" s="5" t="s">
        <v>355</v>
      </c>
      <c r="G163" s="5" t="s">
        <v>372</v>
      </c>
      <c r="H163" s="7" t="s">
        <v>375</v>
      </c>
    </row>
    <row r="164" spans="1:8" ht="30" hidden="1" customHeight="1" outlineLevel="1">
      <c r="A164" s="5" t="s">
        <v>14</v>
      </c>
      <c r="B164" s="5" t="s">
        <v>370</v>
      </c>
      <c r="C164" s="5" t="s">
        <v>371</v>
      </c>
      <c r="D164" s="6">
        <v>175000000</v>
      </c>
      <c r="E164" s="8">
        <v>46111.341666666667</v>
      </c>
      <c r="F164" s="5" t="s">
        <v>355</v>
      </c>
      <c r="G164" s="5" t="s">
        <v>372</v>
      </c>
      <c r="H164" s="7" t="s">
        <v>376</v>
      </c>
    </row>
    <row r="165" spans="1:8" ht="30" hidden="1" customHeight="1" outlineLevel="1">
      <c r="A165" s="5" t="s">
        <v>13</v>
      </c>
      <c r="B165" s="5" t="s">
        <v>573</v>
      </c>
      <c r="C165" s="5" t="s">
        <v>574</v>
      </c>
      <c r="D165" s="6">
        <v>337899320</v>
      </c>
      <c r="E165" s="8">
        <v>46092.643750000003</v>
      </c>
      <c r="F165" s="5" t="s">
        <v>355</v>
      </c>
      <c r="G165" s="5" t="s">
        <v>372</v>
      </c>
      <c r="H165" s="7" t="s">
        <v>575</v>
      </c>
    </row>
    <row r="166" spans="1:8" ht="30" hidden="1" customHeight="1" outlineLevel="1">
      <c r="A166" s="5" t="s">
        <v>12</v>
      </c>
      <c r="B166" s="5" t="s">
        <v>634</v>
      </c>
      <c r="C166" s="5" t="s">
        <v>428</v>
      </c>
      <c r="D166" s="6">
        <v>221982000</v>
      </c>
      <c r="E166" s="8">
        <v>46056.679166666669</v>
      </c>
      <c r="F166" s="5" t="s">
        <v>62</v>
      </c>
      <c r="G166" s="5" t="s">
        <v>372</v>
      </c>
      <c r="H166" s="7" t="s">
        <v>635</v>
      </c>
    </row>
    <row r="167" spans="1:8" ht="30" hidden="1" customHeight="1" outlineLevel="1">
      <c r="A167" s="5" t="s">
        <v>14</v>
      </c>
      <c r="B167" s="5" t="s">
        <v>387</v>
      </c>
      <c r="C167" s="5" t="s">
        <v>388</v>
      </c>
      <c r="D167" s="6">
        <v>180000000</v>
      </c>
      <c r="E167" s="8">
        <v>46055.579861111109</v>
      </c>
      <c r="F167" s="5" t="s">
        <v>355</v>
      </c>
      <c r="G167" s="5" t="s">
        <v>372</v>
      </c>
      <c r="H167" s="7" t="s">
        <v>389</v>
      </c>
    </row>
    <row r="168" spans="1:8" ht="30" hidden="1" customHeight="1" outlineLevel="1">
      <c r="A168" s="5" t="s">
        <v>14</v>
      </c>
      <c r="B168" s="5" t="s">
        <v>636</v>
      </c>
      <c r="C168" s="5" t="s">
        <v>637</v>
      </c>
      <c r="D168" s="6">
        <v>77000000</v>
      </c>
      <c r="E168" s="8">
        <v>45804.383333333331</v>
      </c>
      <c r="F168" s="5" t="s">
        <v>355</v>
      </c>
      <c r="G168" s="5" t="s">
        <v>372</v>
      </c>
      <c r="H168" s="7" t="s">
        <v>638</v>
      </c>
    </row>
    <row r="169" spans="1:8" ht="30" hidden="1" customHeight="1" outlineLevel="1">
      <c r="A169" s="5" t="s">
        <v>14</v>
      </c>
      <c r="B169" s="5" t="s">
        <v>508</v>
      </c>
      <c r="C169" s="5" t="s">
        <v>434</v>
      </c>
      <c r="D169" s="6">
        <v>138000000</v>
      </c>
      <c r="E169" s="8">
        <v>45751.648611111108</v>
      </c>
      <c r="F169" s="5" t="s">
        <v>355</v>
      </c>
      <c r="G169" s="5" t="s">
        <v>372</v>
      </c>
      <c r="H169" s="7" t="s">
        <v>509</v>
      </c>
    </row>
    <row r="170" spans="1:8" ht="30" hidden="1" customHeight="1" outlineLevel="1">
      <c r="A170" s="5" t="s">
        <v>12</v>
      </c>
      <c r="B170" s="5" t="s">
        <v>427</v>
      </c>
      <c r="C170" s="5" t="s">
        <v>428</v>
      </c>
      <c r="D170" s="6">
        <v>221585600</v>
      </c>
      <c r="E170" s="8">
        <v>45698.609027777777</v>
      </c>
      <c r="F170" s="5" t="s">
        <v>355</v>
      </c>
      <c r="G170" s="5" t="s">
        <v>422</v>
      </c>
      <c r="H170" s="7" t="s">
        <v>429</v>
      </c>
    </row>
    <row r="171" spans="1:8" ht="30" hidden="1" customHeight="1" outlineLevel="1">
      <c r="A171" s="5" t="s">
        <v>13</v>
      </c>
      <c r="B171" s="5" t="s">
        <v>562</v>
      </c>
      <c r="C171" s="5" t="s">
        <v>563</v>
      </c>
      <c r="D171" s="6">
        <v>155000000</v>
      </c>
      <c r="E171" s="8">
        <v>45677.828472222223</v>
      </c>
      <c r="F171" s="5" t="s">
        <v>62</v>
      </c>
      <c r="G171" s="5" t="s">
        <v>422</v>
      </c>
      <c r="H171" s="7" t="s">
        <v>564</v>
      </c>
    </row>
    <row r="172" spans="1:8" ht="30" hidden="1" customHeight="1" outlineLevel="1">
      <c r="A172" s="5" t="s">
        <v>14</v>
      </c>
      <c r="B172" s="5" t="s">
        <v>436</v>
      </c>
      <c r="C172" s="5" t="s">
        <v>388</v>
      </c>
      <c r="D172" s="6">
        <v>175000000</v>
      </c>
      <c r="E172" s="8">
        <v>45677.425694444442</v>
      </c>
      <c r="F172" s="5" t="s">
        <v>355</v>
      </c>
      <c r="G172" s="5" t="s">
        <v>422</v>
      </c>
      <c r="H172" s="7" t="s">
        <v>437</v>
      </c>
    </row>
    <row r="173" spans="1:8" ht="30" hidden="1" customHeight="1" outlineLevel="1">
      <c r="A173" s="5" t="s">
        <v>14</v>
      </c>
      <c r="B173" s="5" t="s">
        <v>639</v>
      </c>
      <c r="C173" s="5" t="s">
        <v>388</v>
      </c>
      <c r="D173" s="6">
        <v>175000000</v>
      </c>
      <c r="E173" s="8">
        <v>45677.411111111112</v>
      </c>
      <c r="F173" s="5" t="s">
        <v>355</v>
      </c>
      <c r="G173" s="5" t="s">
        <v>422</v>
      </c>
      <c r="H173" s="7" t="s">
        <v>640</v>
      </c>
    </row>
    <row r="174" spans="1:8" ht="30" hidden="1" customHeight="1" outlineLevel="1">
      <c r="A174" s="5" t="s">
        <v>13</v>
      </c>
      <c r="B174" s="5" t="s">
        <v>641</v>
      </c>
      <c r="C174" s="5" t="s">
        <v>642</v>
      </c>
      <c r="D174" s="6">
        <v>449395142</v>
      </c>
      <c r="E174" s="8">
        <v>45377.46875</v>
      </c>
      <c r="F174" s="5" t="s">
        <v>62</v>
      </c>
      <c r="G174" s="5" t="s">
        <v>441</v>
      </c>
      <c r="H174" s="7" t="s">
        <v>643</v>
      </c>
    </row>
    <row r="175" spans="1:8" ht="30" hidden="1" customHeight="1" outlineLevel="1">
      <c r="A175" s="5" t="s">
        <v>14</v>
      </c>
      <c r="B175" s="5" t="s">
        <v>529</v>
      </c>
      <c r="C175" s="5" t="s">
        <v>434</v>
      </c>
      <c r="D175" s="6">
        <v>180000000</v>
      </c>
      <c r="E175" s="8">
        <v>45341.572916666657</v>
      </c>
      <c r="F175" s="5" t="s">
        <v>355</v>
      </c>
      <c r="G175" s="5" t="s">
        <v>441</v>
      </c>
      <c r="H175" s="7" t="s">
        <v>530</v>
      </c>
    </row>
    <row r="176" spans="1:8" ht="30" hidden="1" customHeight="1" outlineLevel="1">
      <c r="A176" s="5" t="s">
        <v>14</v>
      </c>
      <c r="B176" s="5" t="s">
        <v>531</v>
      </c>
      <c r="C176" s="5" t="s">
        <v>428</v>
      </c>
      <c r="D176" s="6">
        <v>191490900</v>
      </c>
      <c r="E176" s="8">
        <v>45338.544444444437</v>
      </c>
      <c r="F176" s="5" t="s">
        <v>62</v>
      </c>
      <c r="G176" s="5" t="s">
        <v>422</v>
      </c>
      <c r="H176" s="7" t="s">
        <v>532</v>
      </c>
    </row>
    <row r="177" spans="1:8" ht="30" hidden="1" customHeight="1" outlineLevel="1">
      <c r="A177" s="5" t="s">
        <v>14</v>
      </c>
      <c r="B177" s="5" t="s">
        <v>465</v>
      </c>
      <c r="C177" s="5" t="s">
        <v>388</v>
      </c>
      <c r="D177" s="6">
        <v>158000000</v>
      </c>
      <c r="E177" s="8">
        <v>45327.409722222219</v>
      </c>
      <c r="F177" s="5" t="s">
        <v>355</v>
      </c>
      <c r="G177" s="5" t="s">
        <v>441</v>
      </c>
      <c r="H177" s="7" t="s">
        <v>466</v>
      </c>
    </row>
    <row r="178" spans="1:8" ht="30" hidden="1" customHeight="1" outlineLevel="1">
      <c r="A178" s="5" t="s">
        <v>14</v>
      </c>
      <c r="B178" s="5" t="s">
        <v>538</v>
      </c>
      <c r="C178" s="5" t="s">
        <v>388</v>
      </c>
      <c r="D178" s="6">
        <v>158000000</v>
      </c>
      <c r="E178" s="8">
        <v>45320.386805555558</v>
      </c>
      <c r="F178" s="5" t="s">
        <v>355</v>
      </c>
      <c r="G178" s="5" t="s">
        <v>441</v>
      </c>
      <c r="H178" s="7" t="s">
        <v>539</v>
      </c>
    </row>
    <row r="179" spans="1:8" ht="58" customHeight="1" collapsed="1">
      <c r="A179" s="12" t="s">
        <v>644</v>
      </c>
      <c r="B179" s="13" t="s">
        <v>65</v>
      </c>
      <c r="C179" s="14" t="s">
        <v>66</v>
      </c>
      <c r="D179" s="15">
        <v>15</v>
      </c>
      <c r="E179" s="15">
        <v>15</v>
      </c>
      <c r="F179" s="15">
        <v>0</v>
      </c>
      <c r="G179" s="15">
        <v>15</v>
      </c>
      <c r="H179" s="13" t="s">
        <v>645</v>
      </c>
    </row>
    <row r="180" spans="1:8" ht="32" hidden="1" customHeight="1" outlineLevel="1">
      <c r="A180" s="4" t="s">
        <v>6</v>
      </c>
      <c r="B180" s="4" t="s">
        <v>17</v>
      </c>
      <c r="C180" s="4" t="s">
        <v>18</v>
      </c>
      <c r="D180" s="4" t="s">
        <v>19</v>
      </c>
      <c r="E180" s="4" t="s">
        <v>21</v>
      </c>
      <c r="F180" s="4" t="s">
        <v>357</v>
      </c>
      <c r="G180" s="4" t="s">
        <v>358</v>
      </c>
      <c r="H180" s="4" t="s">
        <v>359</v>
      </c>
    </row>
    <row r="181" spans="1:8" ht="30" hidden="1" customHeight="1" outlineLevel="1">
      <c r="A181" s="5" t="s">
        <v>14</v>
      </c>
      <c r="B181" s="5" t="s">
        <v>367</v>
      </c>
      <c r="C181" s="5" t="s">
        <v>368</v>
      </c>
      <c r="D181" s="6">
        <v>199447000</v>
      </c>
      <c r="E181" s="8">
        <v>46125.581250000003</v>
      </c>
      <c r="F181" s="5" t="s">
        <v>355</v>
      </c>
      <c r="G181" s="5" t="s">
        <v>362</v>
      </c>
      <c r="H181" s="7" t="s">
        <v>369</v>
      </c>
    </row>
    <row r="182" spans="1:8" ht="30" hidden="1" customHeight="1" outlineLevel="1">
      <c r="A182" s="5" t="s">
        <v>14</v>
      </c>
      <c r="B182" s="5" t="s">
        <v>508</v>
      </c>
      <c r="C182" s="5" t="s">
        <v>434</v>
      </c>
      <c r="D182" s="6">
        <v>138000000</v>
      </c>
      <c r="E182" s="8">
        <v>45751.648611111108</v>
      </c>
      <c r="F182" s="5" t="s">
        <v>355</v>
      </c>
      <c r="G182" s="5" t="s">
        <v>372</v>
      </c>
      <c r="H182" s="7" t="s">
        <v>509</v>
      </c>
    </row>
    <row r="183" spans="1:8" ht="30" hidden="1" customHeight="1" outlineLevel="1">
      <c r="A183" s="5" t="s">
        <v>14</v>
      </c>
      <c r="B183" s="5" t="s">
        <v>512</v>
      </c>
      <c r="C183" s="5" t="s">
        <v>444</v>
      </c>
      <c r="D183" s="6">
        <v>110000000</v>
      </c>
      <c r="E183" s="8">
        <v>45741.401388888888</v>
      </c>
      <c r="F183" s="5" t="s">
        <v>355</v>
      </c>
      <c r="G183" s="5" t="s">
        <v>372</v>
      </c>
      <c r="H183" s="7" t="s">
        <v>513</v>
      </c>
    </row>
    <row r="184" spans="1:8" ht="30" hidden="1" customHeight="1" outlineLevel="1">
      <c r="A184" s="5" t="s">
        <v>14</v>
      </c>
      <c r="B184" s="5" t="s">
        <v>517</v>
      </c>
      <c r="C184" s="5" t="s">
        <v>434</v>
      </c>
      <c r="D184" s="6">
        <v>275000000</v>
      </c>
      <c r="E184" s="8">
        <v>45722.538888888892</v>
      </c>
      <c r="F184" s="5" t="s">
        <v>355</v>
      </c>
      <c r="G184" s="5" t="s">
        <v>372</v>
      </c>
      <c r="H184" s="7" t="s">
        <v>518</v>
      </c>
    </row>
    <row r="185" spans="1:8" ht="30" hidden="1" customHeight="1" outlineLevel="1">
      <c r="A185" s="5" t="s">
        <v>12</v>
      </c>
      <c r="B185" s="5" t="s">
        <v>646</v>
      </c>
      <c r="C185" s="5" t="s">
        <v>647</v>
      </c>
      <c r="D185" s="6">
        <v>556263370</v>
      </c>
      <c r="E185" s="8">
        <v>45589.740277777782</v>
      </c>
      <c r="F185" s="5" t="s">
        <v>355</v>
      </c>
      <c r="G185" s="5" t="s">
        <v>422</v>
      </c>
      <c r="H185" s="7" t="s">
        <v>648</v>
      </c>
    </row>
    <row r="186" spans="1:8" ht="30" hidden="1" customHeight="1" outlineLevel="1">
      <c r="A186" s="5" t="s">
        <v>13</v>
      </c>
      <c r="B186" s="5" t="s">
        <v>649</v>
      </c>
      <c r="C186" s="5" t="s">
        <v>642</v>
      </c>
      <c r="D186" s="6">
        <v>445400000</v>
      </c>
      <c r="E186" s="8">
        <v>45576.40902777778</v>
      </c>
      <c r="F186" s="5" t="s">
        <v>355</v>
      </c>
      <c r="G186" s="5" t="s">
        <v>441</v>
      </c>
      <c r="H186" s="7" t="s">
        <v>650</v>
      </c>
    </row>
    <row r="187" spans="1:8" ht="30" hidden="1" customHeight="1" outlineLevel="1">
      <c r="A187" s="5" t="s">
        <v>13</v>
      </c>
      <c r="B187" s="5" t="s">
        <v>594</v>
      </c>
      <c r="C187" s="5" t="s">
        <v>41</v>
      </c>
      <c r="D187" s="6">
        <v>57500000</v>
      </c>
      <c r="E187" s="8">
        <v>45567.638888888891</v>
      </c>
      <c r="F187" s="5" t="s">
        <v>355</v>
      </c>
      <c r="G187" s="5" t="s">
        <v>441</v>
      </c>
      <c r="H187" s="7" t="s">
        <v>595</v>
      </c>
    </row>
    <row r="188" spans="1:8" ht="30" hidden="1" customHeight="1" outlineLevel="1">
      <c r="A188" s="5" t="s">
        <v>14</v>
      </c>
      <c r="B188" s="5" t="s">
        <v>525</v>
      </c>
      <c r="C188" s="5" t="s">
        <v>499</v>
      </c>
      <c r="D188" s="6">
        <v>190279490</v>
      </c>
      <c r="E188" s="8">
        <v>45420.729861111111</v>
      </c>
      <c r="F188" s="5" t="s">
        <v>355</v>
      </c>
      <c r="G188" s="5" t="s">
        <v>422</v>
      </c>
      <c r="H188" s="7" t="s">
        <v>526</v>
      </c>
    </row>
    <row r="189" spans="1:8" ht="30" hidden="1" customHeight="1" outlineLevel="1">
      <c r="A189" s="5" t="s">
        <v>13</v>
      </c>
      <c r="B189" s="5" t="s">
        <v>651</v>
      </c>
      <c r="C189" s="5" t="s">
        <v>361</v>
      </c>
      <c r="D189" s="6">
        <v>403132250</v>
      </c>
      <c r="E189" s="8">
        <v>45400.554166666669</v>
      </c>
      <c r="F189" s="5" t="s">
        <v>355</v>
      </c>
      <c r="G189" s="5" t="s">
        <v>422</v>
      </c>
      <c r="H189" s="7" t="s">
        <v>652</v>
      </c>
    </row>
    <row r="190" spans="1:8" ht="30" hidden="1" customHeight="1" outlineLevel="1">
      <c r="A190" s="5" t="s">
        <v>14</v>
      </c>
      <c r="B190" s="5" t="s">
        <v>653</v>
      </c>
      <c r="C190" s="5" t="s">
        <v>654</v>
      </c>
      <c r="D190" s="6">
        <v>48000000</v>
      </c>
      <c r="E190" s="8">
        <v>45377.606249999997</v>
      </c>
      <c r="F190" s="5" t="s">
        <v>355</v>
      </c>
      <c r="G190" s="5" t="s">
        <v>441</v>
      </c>
      <c r="H190" s="7" t="s">
        <v>655</v>
      </c>
    </row>
    <row r="191" spans="1:8" ht="30" hidden="1" customHeight="1" outlineLevel="1">
      <c r="A191" s="5" t="s">
        <v>14</v>
      </c>
      <c r="B191" s="5" t="s">
        <v>457</v>
      </c>
      <c r="C191" s="5" t="s">
        <v>458</v>
      </c>
      <c r="D191" s="6">
        <v>120000000</v>
      </c>
      <c r="E191" s="8">
        <v>45364.402777777781</v>
      </c>
      <c r="F191" s="5" t="s">
        <v>355</v>
      </c>
      <c r="G191" s="5" t="s">
        <v>441</v>
      </c>
      <c r="H191" s="7" t="s">
        <v>459</v>
      </c>
    </row>
    <row r="192" spans="1:8" ht="30" hidden="1" customHeight="1" outlineLevel="1">
      <c r="A192" s="5" t="s">
        <v>14</v>
      </c>
      <c r="B192" s="5" t="s">
        <v>420</v>
      </c>
      <c r="C192" s="5" t="s">
        <v>421</v>
      </c>
      <c r="D192" s="6">
        <v>200000000</v>
      </c>
      <c r="E192" s="8">
        <v>45350.63958333333</v>
      </c>
      <c r="F192" s="5" t="s">
        <v>355</v>
      </c>
      <c r="G192" s="5" t="s">
        <v>441</v>
      </c>
      <c r="H192" s="7" t="s">
        <v>460</v>
      </c>
    </row>
    <row r="193" spans="1:8" ht="30" hidden="1" customHeight="1" outlineLevel="1">
      <c r="A193" s="5" t="s">
        <v>14</v>
      </c>
      <c r="B193" s="5" t="s">
        <v>463</v>
      </c>
      <c r="C193" s="5" t="s">
        <v>434</v>
      </c>
      <c r="D193" s="6">
        <v>240000000</v>
      </c>
      <c r="E193" s="8">
        <v>45341.570138888892</v>
      </c>
      <c r="F193" s="5" t="s">
        <v>355</v>
      </c>
      <c r="G193" s="5" t="s">
        <v>441</v>
      </c>
      <c r="H193" s="7" t="s">
        <v>464</v>
      </c>
    </row>
    <row r="194" spans="1:8" ht="30" hidden="1" customHeight="1" outlineLevel="1">
      <c r="A194" s="5" t="s">
        <v>14</v>
      </c>
      <c r="B194" s="5" t="s">
        <v>570</v>
      </c>
      <c r="C194" s="5" t="s">
        <v>368</v>
      </c>
      <c r="D194" s="6">
        <v>400000000</v>
      </c>
      <c r="E194" s="8">
        <v>45337.634722222218</v>
      </c>
      <c r="F194" s="5" t="s">
        <v>355</v>
      </c>
      <c r="G194" s="5" t="s">
        <v>441</v>
      </c>
      <c r="H194" s="7" t="s">
        <v>571</v>
      </c>
    </row>
    <row r="195" spans="1:8" ht="30" hidden="1" customHeight="1" outlineLevel="1">
      <c r="A195" s="5" t="s">
        <v>14</v>
      </c>
      <c r="B195" s="5" t="s">
        <v>467</v>
      </c>
      <c r="C195" s="5" t="s">
        <v>388</v>
      </c>
      <c r="D195" s="6">
        <v>158000000</v>
      </c>
      <c r="E195" s="8">
        <v>45313.361805555563</v>
      </c>
      <c r="F195" s="5" t="s">
        <v>355</v>
      </c>
      <c r="G195" s="5" t="s">
        <v>441</v>
      </c>
      <c r="H195" s="7" t="s">
        <v>468</v>
      </c>
    </row>
    <row r="196" spans="1:8" ht="58" customHeight="1" collapsed="1">
      <c r="A196" s="12" t="s">
        <v>656</v>
      </c>
      <c r="B196" s="13" t="s">
        <v>657</v>
      </c>
      <c r="C196" s="14" t="s">
        <v>66</v>
      </c>
      <c r="D196" s="15">
        <v>14</v>
      </c>
      <c r="E196" s="15">
        <v>14</v>
      </c>
      <c r="F196" s="15">
        <v>3</v>
      </c>
      <c r="G196" s="15">
        <v>11</v>
      </c>
      <c r="H196" s="13" t="s">
        <v>658</v>
      </c>
    </row>
    <row r="197" spans="1:8" ht="32" hidden="1" customHeight="1" outlineLevel="1">
      <c r="A197" s="4" t="s">
        <v>6</v>
      </c>
      <c r="B197" s="4" t="s">
        <v>17</v>
      </c>
      <c r="C197" s="4" t="s">
        <v>18</v>
      </c>
      <c r="D197" s="4" t="s">
        <v>19</v>
      </c>
      <c r="E197" s="4" t="s">
        <v>21</v>
      </c>
      <c r="F197" s="4" t="s">
        <v>357</v>
      </c>
      <c r="G197" s="4" t="s">
        <v>358</v>
      </c>
      <c r="H197" s="4" t="s">
        <v>359</v>
      </c>
    </row>
    <row r="198" spans="1:8" ht="30" hidden="1" customHeight="1" outlineLevel="1">
      <c r="A198" s="5" t="s">
        <v>14</v>
      </c>
      <c r="B198" s="5" t="s">
        <v>474</v>
      </c>
      <c r="C198" s="5" t="s">
        <v>409</v>
      </c>
      <c r="D198" s="6">
        <v>184915000</v>
      </c>
      <c r="E198" s="8">
        <v>46132.425000000003</v>
      </c>
      <c r="F198" s="5" t="s">
        <v>355</v>
      </c>
      <c r="G198" s="5" t="s">
        <v>362</v>
      </c>
      <c r="H198" s="7" t="s">
        <v>475</v>
      </c>
    </row>
    <row r="199" spans="1:8" ht="30" hidden="1" customHeight="1" outlineLevel="1">
      <c r="A199" s="5" t="s">
        <v>14</v>
      </c>
      <c r="B199" s="5" t="s">
        <v>379</v>
      </c>
      <c r="C199" s="5" t="s">
        <v>380</v>
      </c>
      <c r="D199" s="6">
        <v>220000000</v>
      </c>
      <c r="E199" s="8">
        <v>46105.447916666657</v>
      </c>
      <c r="F199" s="5" t="s">
        <v>355</v>
      </c>
      <c r="G199" s="5" t="s">
        <v>381</v>
      </c>
      <c r="H199" s="7" t="s">
        <v>382</v>
      </c>
    </row>
    <row r="200" spans="1:8" ht="30" hidden="1" customHeight="1" outlineLevel="1">
      <c r="A200" s="5" t="s">
        <v>12</v>
      </c>
      <c r="B200" s="5" t="s">
        <v>634</v>
      </c>
      <c r="C200" s="5" t="s">
        <v>428</v>
      </c>
      <c r="D200" s="6">
        <v>221982000</v>
      </c>
      <c r="E200" s="8">
        <v>46056.679166666669</v>
      </c>
      <c r="F200" s="5" t="s">
        <v>355</v>
      </c>
      <c r="G200" s="5" t="s">
        <v>372</v>
      </c>
      <c r="H200" s="7" t="s">
        <v>635</v>
      </c>
    </row>
    <row r="201" spans="1:8" ht="30" hidden="1" customHeight="1" outlineLevel="1">
      <c r="A201" s="5" t="s">
        <v>14</v>
      </c>
      <c r="B201" s="5" t="s">
        <v>390</v>
      </c>
      <c r="C201" s="5" t="s">
        <v>388</v>
      </c>
      <c r="D201" s="6">
        <v>180000000</v>
      </c>
      <c r="E201" s="8">
        <v>46055.572916666657</v>
      </c>
      <c r="F201" s="5" t="s">
        <v>62</v>
      </c>
      <c r="G201" s="5" t="s">
        <v>372</v>
      </c>
      <c r="H201" s="7" t="s">
        <v>391</v>
      </c>
    </row>
    <row r="202" spans="1:8" ht="30" hidden="1" customHeight="1" outlineLevel="1">
      <c r="A202" s="5" t="s">
        <v>14</v>
      </c>
      <c r="B202" s="5" t="s">
        <v>401</v>
      </c>
      <c r="C202" s="5" t="s">
        <v>402</v>
      </c>
      <c r="D202" s="6">
        <v>150000000</v>
      </c>
      <c r="E202" s="8">
        <v>45803.455555555563</v>
      </c>
      <c r="F202" s="5" t="s">
        <v>355</v>
      </c>
      <c r="G202" s="5" t="s">
        <v>372</v>
      </c>
      <c r="H202" s="7" t="s">
        <v>403</v>
      </c>
    </row>
    <row r="203" spans="1:8" ht="30" hidden="1" customHeight="1" outlineLevel="1">
      <c r="A203" s="5" t="s">
        <v>14</v>
      </c>
      <c r="B203" s="5" t="s">
        <v>659</v>
      </c>
      <c r="C203" s="5" t="s">
        <v>48</v>
      </c>
      <c r="D203" s="6">
        <v>200000000</v>
      </c>
      <c r="E203" s="8">
        <v>45798.877083333333</v>
      </c>
      <c r="F203" s="5" t="s">
        <v>62</v>
      </c>
      <c r="G203" s="5" t="s">
        <v>372</v>
      </c>
      <c r="H203" s="7" t="s">
        <v>660</v>
      </c>
    </row>
    <row r="204" spans="1:8" ht="30" hidden="1" customHeight="1" outlineLevel="1">
      <c r="A204" s="5" t="s">
        <v>14</v>
      </c>
      <c r="B204" s="5" t="s">
        <v>420</v>
      </c>
      <c r="C204" s="5" t="s">
        <v>421</v>
      </c>
      <c r="D204" s="6">
        <v>249755840</v>
      </c>
      <c r="E204" s="8">
        <v>45702.660416666673</v>
      </c>
      <c r="F204" s="5" t="s">
        <v>355</v>
      </c>
      <c r="G204" s="5" t="s">
        <v>422</v>
      </c>
      <c r="H204" s="7" t="s">
        <v>423</v>
      </c>
    </row>
    <row r="205" spans="1:8" ht="30" hidden="1" customHeight="1" outlineLevel="1">
      <c r="A205" s="5" t="s">
        <v>12</v>
      </c>
      <c r="B205" s="5" t="s">
        <v>427</v>
      </c>
      <c r="C205" s="5" t="s">
        <v>428</v>
      </c>
      <c r="D205" s="6">
        <v>221585600</v>
      </c>
      <c r="E205" s="8">
        <v>45698.609027777777</v>
      </c>
      <c r="F205" s="5" t="s">
        <v>62</v>
      </c>
      <c r="G205" s="5" t="s">
        <v>422</v>
      </c>
      <c r="H205" s="7" t="s">
        <v>429</v>
      </c>
    </row>
    <row r="206" spans="1:8" ht="30" hidden="1" customHeight="1" outlineLevel="1">
      <c r="A206" s="5" t="s">
        <v>14</v>
      </c>
      <c r="B206" s="5" t="s">
        <v>436</v>
      </c>
      <c r="C206" s="5" t="s">
        <v>388</v>
      </c>
      <c r="D206" s="6">
        <v>175000000</v>
      </c>
      <c r="E206" s="8">
        <v>45677.425694444442</v>
      </c>
      <c r="F206" s="5" t="s">
        <v>355</v>
      </c>
      <c r="G206" s="5" t="s">
        <v>422</v>
      </c>
      <c r="H206" s="7" t="s">
        <v>437</v>
      </c>
    </row>
    <row r="207" spans="1:8" ht="30" hidden="1" customHeight="1" outlineLevel="1">
      <c r="A207" s="5" t="s">
        <v>14</v>
      </c>
      <c r="B207" s="5" t="s">
        <v>438</v>
      </c>
      <c r="C207" s="5" t="s">
        <v>388</v>
      </c>
      <c r="D207" s="6">
        <v>175000000</v>
      </c>
      <c r="E207" s="8">
        <v>45667.554166666669</v>
      </c>
      <c r="F207" s="5" t="s">
        <v>355</v>
      </c>
      <c r="G207" s="5" t="s">
        <v>372</v>
      </c>
      <c r="H207" s="7" t="s">
        <v>439</v>
      </c>
    </row>
    <row r="208" spans="1:8" ht="30" hidden="1" customHeight="1" outlineLevel="1">
      <c r="A208" s="5" t="s">
        <v>14</v>
      </c>
      <c r="B208" s="5" t="s">
        <v>661</v>
      </c>
      <c r="C208" s="5" t="s">
        <v>402</v>
      </c>
      <c r="D208" s="6">
        <v>390000000</v>
      </c>
      <c r="E208" s="8">
        <v>45376.444444444453</v>
      </c>
      <c r="F208" s="5" t="s">
        <v>355</v>
      </c>
      <c r="G208" s="5" t="s">
        <v>441</v>
      </c>
      <c r="H208" s="7" t="s">
        <v>662</v>
      </c>
    </row>
    <row r="209" spans="1:8" ht="30" hidden="1" customHeight="1" outlineLevel="1">
      <c r="A209" s="5" t="s">
        <v>14</v>
      </c>
      <c r="B209" s="5" t="s">
        <v>461</v>
      </c>
      <c r="C209" s="5" t="s">
        <v>434</v>
      </c>
      <c r="D209" s="6">
        <v>240000000</v>
      </c>
      <c r="E209" s="8">
        <v>45341.571527777778</v>
      </c>
      <c r="F209" s="5" t="s">
        <v>355</v>
      </c>
      <c r="G209" s="5" t="s">
        <v>441</v>
      </c>
      <c r="H209" s="7" t="s">
        <v>462</v>
      </c>
    </row>
    <row r="210" spans="1:8" ht="30" hidden="1" customHeight="1" outlineLevel="1">
      <c r="A210" s="5" t="s">
        <v>14</v>
      </c>
      <c r="B210" s="5" t="s">
        <v>531</v>
      </c>
      <c r="C210" s="5" t="s">
        <v>428</v>
      </c>
      <c r="D210" s="6">
        <v>191490900</v>
      </c>
      <c r="E210" s="8">
        <v>45338.544444444437</v>
      </c>
      <c r="F210" s="5" t="s">
        <v>355</v>
      </c>
      <c r="G210" s="5" t="s">
        <v>422</v>
      </c>
      <c r="H210" s="7" t="s">
        <v>532</v>
      </c>
    </row>
    <row r="211" spans="1:8" ht="30" hidden="1" customHeight="1" outlineLevel="1">
      <c r="A211" s="5" t="s">
        <v>14</v>
      </c>
      <c r="B211" s="5" t="s">
        <v>465</v>
      </c>
      <c r="C211" s="5" t="s">
        <v>388</v>
      </c>
      <c r="D211" s="6">
        <v>158000000</v>
      </c>
      <c r="E211" s="8">
        <v>45327.409722222219</v>
      </c>
      <c r="F211" s="5" t="s">
        <v>355</v>
      </c>
      <c r="G211" s="5" t="s">
        <v>441</v>
      </c>
      <c r="H211" s="7" t="s">
        <v>466</v>
      </c>
    </row>
    <row r="212" spans="1:8" ht="58" customHeight="1" collapsed="1">
      <c r="A212" s="12" t="s">
        <v>663</v>
      </c>
      <c r="B212" s="13" t="s">
        <v>65</v>
      </c>
      <c r="C212" s="14" t="s">
        <v>66</v>
      </c>
      <c r="D212" s="15">
        <v>13</v>
      </c>
      <c r="E212" s="15">
        <v>13</v>
      </c>
      <c r="F212" s="15">
        <v>0</v>
      </c>
      <c r="G212" s="15">
        <v>13</v>
      </c>
      <c r="H212" s="13" t="s">
        <v>664</v>
      </c>
    </row>
    <row r="213" spans="1:8" ht="32" hidden="1" customHeight="1" outlineLevel="1">
      <c r="A213" s="4" t="s">
        <v>6</v>
      </c>
      <c r="B213" s="4" t="s">
        <v>17</v>
      </c>
      <c r="C213" s="4" t="s">
        <v>18</v>
      </c>
      <c r="D213" s="4" t="s">
        <v>19</v>
      </c>
      <c r="E213" s="4" t="s">
        <v>21</v>
      </c>
      <c r="F213" s="4" t="s">
        <v>357</v>
      </c>
      <c r="G213" s="4" t="s">
        <v>358</v>
      </c>
      <c r="H213" s="4" t="s">
        <v>359</v>
      </c>
    </row>
    <row r="214" spans="1:8" ht="30" hidden="1" customHeight="1" outlineLevel="1">
      <c r="A214" s="5" t="s">
        <v>12</v>
      </c>
      <c r="B214" s="5" t="s">
        <v>634</v>
      </c>
      <c r="C214" s="5" t="s">
        <v>428</v>
      </c>
      <c r="D214" s="6">
        <v>221982000</v>
      </c>
      <c r="E214" s="8">
        <v>46056.679166666669</v>
      </c>
      <c r="F214" s="5" t="s">
        <v>355</v>
      </c>
      <c r="G214" s="5" t="s">
        <v>372</v>
      </c>
      <c r="H214" s="7" t="s">
        <v>635</v>
      </c>
    </row>
    <row r="215" spans="1:8" ht="30" hidden="1" customHeight="1" outlineLevel="1">
      <c r="A215" s="5" t="s">
        <v>14</v>
      </c>
      <c r="B215" s="5" t="s">
        <v>483</v>
      </c>
      <c r="C215" s="5" t="s">
        <v>388</v>
      </c>
      <c r="D215" s="6">
        <v>180000000</v>
      </c>
      <c r="E215" s="8">
        <v>46056.45208333333</v>
      </c>
      <c r="F215" s="5" t="s">
        <v>355</v>
      </c>
      <c r="G215" s="5" t="s">
        <v>372</v>
      </c>
      <c r="H215" s="7" t="s">
        <v>484</v>
      </c>
    </row>
    <row r="216" spans="1:8" ht="30" hidden="1" customHeight="1" outlineLevel="1">
      <c r="A216" s="5" t="s">
        <v>14</v>
      </c>
      <c r="B216" s="5" t="s">
        <v>665</v>
      </c>
      <c r="C216" s="5" t="s">
        <v>409</v>
      </c>
      <c r="D216" s="6">
        <v>39996000</v>
      </c>
      <c r="E216" s="8">
        <v>45758.47152777778</v>
      </c>
      <c r="F216" s="5" t="s">
        <v>355</v>
      </c>
      <c r="G216" s="5" t="s">
        <v>372</v>
      </c>
      <c r="H216" s="7" t="s">
        <v>666</v>
      </c>
    </row>
    <row r="217" spans="1:8" ht="30" hidden="1" customHeight="1" outlineLevel="1">
      <c r="A217" s="5" t="s">
        <v>14</v>
      </c>
      <c r="B217" s="5" t="s">
        <v>667</v>
      </c>
      <c r="C217" s="5" t="s">
        <v>48</v>
      </c>
      <c r="D217" s="6">
        <v>55000000</v>
      </c>
      <c r="E217" s="8">
        <v>45743.954861111109</v>
      </c>
      <c r="F217" s="5" t="s">
        <v>355</v>
      </c>
      <c r="G217" s="5" t="s">
        <v>372</v>
      </c>
      <c r="H217" s="7" t="s">
        <v>668</v>
      </c>
    </row>
    <row r="218" spans="1:8" ht="30" hidden="1" customHeight="1" outlineLevel="1">
      <c r="A218" s="5" t="s">
        <v>13</v>
      </c>
      <c r="B218" s="5" t="s">
        <v>669</v>
      </c>
      <c r="C218" s="5" t="s">
        <v>48</v>
      </c>
      <c r="D218" s="6">
        <v>60000000</v>
      </c>
      <c r="E218" s="8">
        <v>45740.902777777781</v>
      </c>
      <c r="F218" s="5" t="s">
        <v>355</v>
      </c>
      <c r="G218" s="5" t="s">
        <v>372</v>
      </c>
      <c r="H218" s="7" t="s">
        <v>670</v>
      </c>
    </row>
    <row r="219" spans="1:8" ht="30" hidden="1" customHeight="1" outlineLevel="1">
      <c r="A219" s="5" t="s">
        <v>13</v>
      </c>
      <c r="B219" s="5" t="s">
        <v>417</v>
      </c>
      <c r="C219" s="5" t="s">
        <v>418</v>
      </c>
      <c r="D219" s="6">
        <v>20000000</v>
      </c>
      <c r="E219" s="8">
        <v>45722.736805555563</v>
      </c>
      <c r="F219" s="5" t="s">
        <v>355</v>
      </c>
      <c r="G219" s="5" t="s">
        <v>372</v>
      </c>
      <c r="H219" s="7" t="s">
        <v>419</v>
      </c>
    </row>
    <row r="220" spans="1:8" ht="30" hidden="1" customHeight="1" outlineLevel="1">
      <c r="A220" s="5" t="s">
        <v>14</v>
      </c>
      <c r="B220" s="5" t="s">
        <v>517</v>
      </c>
      <c r="C220" s="5" t="s">
        <v>434</v>
      </c>
      <c r="D220" s="6">
        <v>275000000</v>
      </c>
      <c r="E220" s="8">
        <v>45722.538888888892</v>
      </c>
      <c r="F220" s="5" t="s">
        <v>355</v>
      </c>
      <c r="G220" s="5" t="s">
        <v>372</v>
      </c>
      <c r="H220" s="7" t="s">
        <v>518</v>
      </c>
    </row>
    <row r="221" spans="1:8" ht="30" hidden="1" customHeight="1" outlineLevel="1">
      <c r="A221" s="5" t="s">
        <v>14</v>
      </c>
      <c r="B221" s="5" t="s">
        <v>433</v>
      </c>
      <c r="C221" s="5" t="s">
        <v>434</v>
      </c>
      <c r="D221" s="6">
        <v>150000000</v>
      </c>
      <c r="E221" s="8">
        <v>45681.561805555553</v>
      </c>
      <c r="F221" s="5" t="s">
        <v>355</v>
      </c>
      <c r="G221" s="5" t="s">
        <v>422</v>
      </c>
      <c r="H221" s="7" t="s">
        <v>435</v>
      </c>
    </row>
    <row r="222" spans="1:8" ht="30" hidden="1" customHeight="1" outlineLevel="1">
      <c r="A222" s="5" t="s">
        <v>12</v>
      </c>
      <c r="B222" s="5" t="s">
        <v>671</v>
      </c>
      <c r="C222" s="5" t="s">
        <v>672</v>
      </c>
      <c r="D222" s="6">
        <v>70000000</v>
      </c>
      <c r="E222" s="8">
        <v>45679.652777777781</v>
      </c>
      <c r="F222" s="5" t="s">
        <v>355</v>
      </c>
      <c r="G222" s="5" t="s">
        <v>422</v>
      </c>
      <c r="H222" s="7" t="s">
        <v>673</v>
      </c>
    </row>
    <row r="223" spans="1:8" ht="30" hidden="1" customHeight="1" outlineLevel="1">
      <c r="A223" s="5" t="s">
        <v>14</v>
      </c>
      <c r="B223" s="5" t="s">
        <v>639</v>
      </c>
      <c r="C223" s="5" t="s">
        <v>388</v>
      </c>
      <c r="D223" s="6">
        <v>175000000</v>
      </c>
      <c r="E223" s="8">
        <v>45677.411111111112</v>
      </c>
      <c r="F223" s="5" t="s">
        <v>355</v>
      </c>
      <c r="G223" s="5" t="s">
        <v>422</v>
      </c>
      <c r="H223" s="7" t="s">
        <v>640</v>
      </c>
    </row>
    <row r="224" spans="1:8" ht="30" hidden="1" customHeight="1" outlineLevel="1">
      <c r="A224" s="5" t="s">
        <v>12</v>
      </c>
      <c r="B224" s="5" t="s">
        <v>674</v>
      </c>
      <c r="C224" s="5" t="s">
        <v>675</v>
      </c>
      <c r="D224" s="6">
        <v>99900000</v>
      </c>
      <c r="E224" s="8">
        <v>45436.366666666669</v>
      </c>
      <c r="F224" s="5" t="s">
        <v>355</v>
      </c>
      <c r="G224" s="5" t="s">
        <v>441</v>
      </c>
      <c r="H224" s="7" t="s">
        <v>676</v>
      </c>
    </row>
    <row r="225" spans="1:8" ht="30" hidden="1" customHeight="1" outlineLevel="1">
      <c r="A225" s="5" t="s">
        <v>12</v>
      </c>
      <c r="B225" s="5" t="s">
        <v>609</v>
      </c>
      <c r="C225" s="5" t="s">
        <v>610</v>
      </c>
      <c r="D225" s="6">
        <v>195784400</v>
      </c>
      <c r="E225" s="8">
        <v>45321.743750000001</v>
      </c>
      <c r="F225" s="5" t="s">
        <v>355</v>
      </c>
      <c r="G225" s="5" t="s">
        <v>422</v>
      </c>
      <c r="H225" s="7" t="s">
        <v>611</v>
      </c>
    </row>
    <row r="226" spans="1:8" ht="30" hidden="1" customHeight="1" outlineLevel="1">
      <c r="A226" s="5" t="s">
        <v>12</v>
      </c>
      <c r="B226" s="5" t="s">
        <v>677</v>
      </c>
      <c r="C226" s="5" t="s">
        <v>678</v>
      </c>
      <c r="D226" s="6">
        <v>77000000</v>
      </c>
      <c r="E226" s="8">
        <v>45299.405555555553</v>
      </c>
      <c r="F226" s="5" t="s">
        <v>355</v>
      </c>
      <c r="G226" s="5" t="s">
        <v>422</v>
      </c>
      <c r="H226" s="7" t="s">
        <v>679</v>
      </c>
    </row>
    <row r="227" spans="1:8" ht="58" customHeight="1" collapsed="1">
      <c r="A227" s="12" t="s">
        <v>680</v>
      </c>
      <c r="B227" s="13" t="s">
        <v>657</v>
      </c>
      <c r="C227" s="14" t="s">
        <v>66</v>
      </c>
      <c r="D227" s="15">
        <v>12</v>
      </c>
      <c r="E227" s="15">
        <v>12</v>
      </c>
      <c r="F227" s="15">
        <v>7</v>
      </c>
      <c r="G227" s="15">
        <v>5</v>
      </c>
      <c r="H227" s="13" t="s">
        <v>681</v>
      </c>
    </row>
    <row r="228" spans="1:8" ht="32" hidden="1" customHeight="1" outlineLevel="1">
      <c r="A228" s="4" t="s">
        <v>6</v>
      </c>
      <c r="B228" s="4" t="s">
        <v>17</v>
      </c>
      <c r="C228" s="4" t="s">
        <v>18</v>
      </c>
      <c r="D228" s="4" t="s">
        <v>19</v>
      </c>
      <c r="E228" s="4" t="s">
        <v>21</v>
      </c>
      <c r="F228" s="4" t="s">
        <v>357</v>
      </c>
      <c r="G228" s="4" t="s">
        <v>358</v>
      </c>
      <c r="H228" s="4" t="s">
        <v>359</v>
      </c>
    </row>
    <row r="229" spans="1:8" ht="30" hidden="1" customHeight="1" outlineLevel="1">
      <c r="A229" s="5" t="s">
        <v>14</v>
      </c>
      <c r="B229" s="5" t="s">
        <v>479</v>
      </c>
      <c r="C229" s="5" t="s">
        <v>434</v>
      </c>
      <c r="D229" s="6">
        <v>180000000</v>
      </c>
      <c r="E229" s="8">
        <v>46073.432638888888</v>
      </c>
      <c r="F229" s="5" t="s">
        <v>62</v>
      </c>
      <c r="G229" s="5" t="s">
        <v>372</v>
      </c>
      <c r="H229" s="7" t="s">
        <v>480</v>
      </c>
    </row>
    <row r="230" spans="1:8" ht="30" hidden="1" customHeight="1" outlineLevel="1">
      <c r="A230" s="5" t="s">
        <v>14</v>
      </c>
      <c r="B230" s="5" t="s">
        <v>481</v>
      </c>
      <c r="C230" s="5" t="s">
        <v>434</v>
      </c>
      <c r="D230" s="6">
        <v>300000000</v>
      </c>
      <c r="E230" s="8">
        <v>46073.428472222222</v>
      </c>
      <c r="F230" s="5" t="s">
        <v>62</v>
      </c>
      <c r="G230" s="5" t="s">
        <v>372</v>
      </c>
      <c r="H230" s="7" t="s">
        <v>482</v>
      </c>
    </row>
    <row r="231" spans="1:8" ht="30" hidden="1" customHeight="1" outlineLevel="1">
      <c r="A231" s="5" t="s">
        <v>12</v>
      </c>
      <c r="B231" s="5" t="s">
        <v>406</v>
      </c>
      <c r="C231" s="5" t="s">
        <v>48</v>
      </c>
      <c r="D231" s="6">
        <v>150000000</v>
      </c>
      <c r="E231" s="8">
        <v>45771.788888888892</v>
      </c>
      <c r="F231" s="5" t="s">
        <v>62</v>
      </c>
      <c r="G231" s="5" t="s">
        <v>372</v>
      </c>
      <c r="H231" s="7" t="s">
        <v>407</v>
      </c>
    </row>
    <row r="232" spans="1:8" ht="30" hidden="1" customHeight="1" outlineLevel="1">
      <c r="A232" s="5" t="s">
        <v>14</v>
      </c>
      <c r="B232" s="5" t="s">
        <v>682</v>
      </c>
      <c r="C232" s="5" t="s">
        <v>434</v>
      </c>
      <c r="D232" s="6">
        <v>96600000</v>
      </c>
      <c r="E232" s="8">
        <v>45754.407638888893</v>
      </c>
      <c r="F232" s="5" t="s">
        <v>355</v>
      </c>
      <c r="G232" s="5" t="s">
        <v>372</v>
      </c>
      <c r="H232" s="7" t="s">
        <v>683</v>
      </c>
    </row>
    <row r="233" spans="1:8" ht="30" hidden="1" customHeight="1" outlineLevel="1">
      <c r="A233" s="5" t="s">
        <v>14</v>
      </c>
      <c r="B233" s="5" t="s">
        <v>508</v>
      </c>
      <c r="C233" s="5" t="s">
        <v>434</v>
      </c>
      <c r="D233" s="6">
        <v>138000000</v>
      </c>
      <c r="E233" s="8">
        <v>45751.648611111108</v>
      </c>
      <c r="F233" s="5" t="s">
        <v>62</v>
      </c>
      <c r="G233" s="5" t="s">
        <v>372</v>
      </c>
      <c r="H233" s="7" t="s">
        <v>509</v>
      </c>
    </row>
    <row r="234" spans="1:8" ht="30" hidden="1" customHeight="1" outlineLevel="1">
      <c r="A234" s="5" t="s">
        <v>14</v>
      </c>
      <c r="B234" s="5" t="s">
        <v>551</v>
      </c>
      <c r="C234" s="5" t="s">
        <v>552</v>
      </c>
      <c r="D234" s="6">
        <v>80000000</v>
      </c>
      <c r="E234" s="8">
        <v>45748.716666666667</v>
      </c>
      <c r="F234" s="5" t="s">
        <v>355</v>
      </c>
      <c r="G234" s="5" t="s">
        <v>372</v>
      </c>
      <c r="H234" s="7" t="s">
        <v>553</v>
      </c>
    </row>
    <row r="235" spans="1:8" ht="30" hidden="1" customHeight="1" outlineLevel="1">
      <c r="A235" s="5" t="s">
        <v>14</v>
      </c>
      <c r="B235" s="5" t="s">
        <v>517</v>
      </c>
      <c r="C235" s="5" t="s">
        <v>434</v>
      </c>
      <c r="D235" s="6">
        <v>275000000</v>
      </c>
      <c r="E235" s="8">
        <v>45722.538888888892</v>
      </c>
      <c r="F235" s="5" t="s">
        <v>62</v>
      </c>
      <c r="G235" s="5" t="s">
        <v>372</v>
      </c>
      <c r="H235" s="7" t="s">
        <v>518</v>
      </c>
    </row>
    <row r="236" spans="1:8" ht="30" hidden="1" customHeight="1" outlineLevel="1">
      <c r="A236" s="5" t="s">
        <v>14</v>
      </c>
      <c r="B236" s="5" t="s">
        <v>519</v>
      </c>
      <c r="C236" s="5" t="s">
        <v>388</v>
      </c>
      <c r="D236" s="6">
        <v>175000000</v>
      </c>
      <c r="E236" s="8">
        <v>45677.416666666657</v>
      </c>
      <c r="F236" s="5" t="s">
        <v>355</v>
      </c>
      <c r="G236" s="5" t="s">
        <v>422</v>
      </c>
      <c r="H236" s="7" t="s">
        <v>520</v>
      </c>
    </row>
    <row r="237" spans="1:8" ht="30" hidden="1" customHeight="1" outlineLevel="1">
      <c r="A237" s="5" t="s">
        <v>14</v>
      </c>
      <c r="B237" s="5" t="s">
        <v>438</v>
      </c>
      <c r="C237" s="5" t="s">
        <v>388</v>
      </c>
      <c r="D237" s="6">
        <v>175000000</v>
      </c>
      <c r="E237" s="8">
        <v>45667.554166666669</v>
      </c>
      <c r="F237" s="5" t="s">
        <v>355</v>
      </c>
      <c r="G237" s="5" t="s">
        <v>372</v>
      </c>
      <c r="H237" s="7" t="s">
        <v>439</v>
      </c>
    </row>
    <row r="238" spans="1:8" ht="30" hidden="1" customHeight="1" outlineLevel="1">
      <c r="A238" s="5" t="s">
        <v>14</v>
      </c>
      <c r="B238" s="5" t="s">
        <v>684</v>
      </c>
      <c r="C238" s="5" t="s">
        <v>685</v>
      </c>
      <c r="D238" s="6">
        <v>75000000</v>
      </c>
      <c r="E238" s="8">
        <v>45517.642361111109</v>
      </c>
      <c r="F238" s="5" t="s">
        <v>62</v>
      </c>
      <c r="G238" s="5" t="s">
        <v>441</v>
      </c>
      <c r="H238" s="7" t="s">
        <v>686</v>
      </c>
    </row>
    <row r="239" spans="1:8" ht="30" hidden="1" customHeight="1" outlineLevel="1">
      <c r="A239" s="5" t="s">
        <v>14</v>
      </c>
      <c r="B239" s="5" t="s">
        <v>463</v>
      </c>
      <c r="C239" s="5" t="s">
        <v>434</v>
      </c>
      <c r="D239" s="6">
        <v>240000000</v>
      </c>
      <c r="E239" s="8">
        <v>45341.570138888892</v>
      </c>
      <c r="F239" s="5" t="s">
        <v>62</v>
      </c>
      <c r="G239" s="5" t="s">
        <v>441</v>
      </c>
      <c r="H239" s="7" t="s">
        <v>464</v>
      </c>
    </row>
    <row r="240" spans="1:8" ht="30" hidden="1" customHeight="1" outlineLevel="1">
      <c r="A240" s="5" t="s">
        <v>14</v>
      </c>
      <c r="B240" s="5" t="s">
        <v>465</v>
      </c>
      <c r="C240" s="5" t="s">
        <v>388</v>
      </c>
      <c r="D240" s="6">
        <v>158000000</v>
      </c>
      <c r="E240" s="8">
        <v>45327.409722222219</v>
      </c>
      <c r="F240" s="5" t="s">
        <v>355</v>
      </c>
      <c r="G240" s="5" t="s">
        <v>441</v>
      </c>
      <c r="H240" s="7" t="s">
        <v>466</v>
      </c>
    </row>
    <row r="241" spans="1:8" ht="58" customHeight="1" collapsed="1">
      <c r="A241" s="12" t="s">
        <v>687</v>
      </c>
      <c r="B241" s="13" t="s">
        <v>65</v>
      </c>
      <c r="C241" s="14" t="s">
        <v>66</v>
      </c>
      <c r="D241" s="15">
        <v>11</v>
      </c>
      <c r="E241" s="15">
        <v>11</v>
      </c>
      <c r="F241" s="15">
        <v>6</v>
      </c>
      <c r="G241" s="15">
        <v>5</v>
      </c>
      <c r="H241" s="13" t="s">
        <v>688</v>
      </c>
    </row>
    <row r="242" spans="1:8" ht="32" hidden="1" customHeight="1" outlineLevel="1">
      <c r="A242" s="4" t="s">
        <v>6</v>
      </c>
      <c r="B242" s="4" t="s">
        <v>17</v>
      </c>
      <c r="C242" s="4" t="s">
        <v>18</v>
      </c>
      <c r="D242" s="4" t="s">
        <v>19</v>
      </c>
      <c r="E242" s="4" t="s">
        <v>21</v>
      </c>
      <c r="F242" s="4" t="s">
        <v>357</v>
      </c>
      <c r="G242" s="4" t="s">
        <v>358</v>
      </c>
      <c r="H242" s="4" t="s">
        <v>359</v>
      </c>
    </row>
    <row r="243" spans="1:8" ht="30" hidden="1" customHeight="1" outlineLevel="1">
      <c r="A243" s="5" t="s">
        <v>12</v>
      </c>
      <c r="B243" s="5" t="s">
        <v>689</v>
      </c>
      <c r="C243" s="5" t="s">
        <v>690</v>
      </c>
      <c r="D243" s="6">
        <v>80000000</v>
      </c>
      <c r="E243" s="8">
        <v>46188.497916666667</v>
      </c>
      <c r="F243" s="5" t="s">
        <v>62</v>
      </c>
      <c r="G243" s="5" t="s">
        <v>691</v>
      </c>
      <c r="H243" s="7" t="s">
        <v>692</v>
      </c>
    </row>
    <row r="244" spans="1:8" ht="30" hidden="1" customHeight="1" outlineLevel="1">
      <c r="A244" s="5" t="s">
        <v>13</v>
      </c>
      <c r="B244" s="5" t="s">
        <v>693</v>
      </c>
      <c r="C244" s="5" t="s">
        <v>694</v>
      </c>
      <c r="D244" s="6">
        <v>44000000</v>
      </c>
      <c r="E244" s="8">
        <v>46128.722916666673</v>
      </c>
      <c r="F244" s="5" t="s">
        <v>62</v>
      </c>
      <c r="G244" s="5" t="s">
        <v>695</v>
      </c>
      <c r="H244" s="7" t="s">
        <v>696</v>
      </c>
    </row>
    <row r="245" spans="1:8" ht="30" hidden="1" customHeight="1" outlineLevel="1">
      <c r="A245" s="5" t="s">
        <v>12</v>
      </c>
      <c r="B245" s="5" t="s">
        <v>583</v>
      </c>
      <c r="C245" s="5" t="s">
        <v>584</v>
      </c>
      <c r="D245" s="6">
        <v>80000000</v>
      </c>
      <c r="E245" s="8">
        <v>45982.498611111107</v>
      </c>
      <c r="F245" s="5" t="s">
        <v>355</v>
      </c>
      <c r="G245" s="5" t="s">
        <v>372</v>
      </c>
      <c r="H245" s="7" t="s">
        <v>585</v>
      </c>
    </row>
    <row r="246" spans="1:8" ht="30" hidden="1" customHeight="1" outlineLevel="1">
      <c r="A246" s="5" t="s">
        <v>12</v>
      </c>
      <c r="B246" s="5" t="s">
        <v>490</v>
      </c>
      <c r="C246" s="5" t="s">
        <v>491</v>
      </c>
      <c r="D246" s="6">
        <v>54000000</v>
      </c>
      <c r="E246" s="8">
        <v>45978.477777777778</v>
      </c>
      <c r="F246" s="5" t="s">
        <v>355</v>
      </c>
      <c r="G246" s="5" t="s">
        <v>372</v>
      </c>
      <c r="H246" s="7" t="s">
        <v>492</v>
      </c>
    </row>
    <row r="247" spans="1:8" ht="30" hidden="1" customHeight="1" outlineLevel="1">
      <c r="A247" s="5" t="s">
        <v>12</v>
      </c>
      <c r="B247" s="5" t="s">
        <v>697</v>
      </c>
      <c r="C247" s="5" t="s">
        <v>698</v>
      </c>
      <c r="D247" s="6">
        <v>85700000</v>
      </c>
      <c r="E247" s="8">
        <v>45973.563194444447</v>
      </c>
      <c r="F247" s="5" t="s">
        <v>62</v>
      </c>
      <c r="G247" s="5" t="s">
        <v>372</v>
      </c>
      <c r="H247" s="7" t="s">
        <v>699</v>
      </c>
    </row>
    <row r="248" spans="1:8" ht="30" hidden="1" customHeight="1" outlineLevel="1">
      <c r="A248" s="5" t="s">
        <v>12</v>
      </c>
      <c r="B248" s="5" t="s">
        <v>700</v>
      </c>
      <c r="C248" s="5" t="s">
        <v>701</v>
      </c>
      <c r="D248" s="6">
        <v>88000000</v>
      </c>
      <c r="E248" s="8">
        <v>45755.669444444437</v>
      </c>
      <c r="F248" s="5" t="s">
        <v>62</v>
      </c>
      <c r="G248" s="5" t="s">
        <v>372</v>
      </c>
      <c r="H248" s="7" t="s">
        <v>702</v>
      </c>
    </row>
    <row r="249" spans="1:8" ht="30" hidden="1" customHeight="1" outlineLevel="1">
      <c r="A249" s="5" t="s">
        <v>13</v>
      </c>
      <c r="B249" s="5" t="s">
        <v>703</v>
      </c>
      <c r="C249" s="5" t="s">
        <v>368</v>
      </c>
      <c r="D249" s="6">
        <v>123000000</v>
      </c>
      <c r="E249" s="8">
        <v>45716.71597222222</v>
      </c>
      <c r="F249" s="5" t="s">
        <v>355</v>
      </c>
      <c r="G249" s="5" t="s">
        <v>372</v>
      </c>
      <c r="H249" s="7" t="s">
        <v>704</v>
      </c>
    </row>
    <row r="250" spans="1:8" ht="30" hidden="1" customHeight="1" outlineLevel="1">
      <c r="A250" s="5" t="s">
        <v>12</v>
      </c>
      <c r="B250" s="5" t="s">
        <v>557</v>
      </c>
      <c r="C250" s="5" t="s">
        <v>558</v>
      </c>
      <c r="D250" s="6">
        <v>130000000</v>
      </c>
      <c r="E250" s="8">
        <v>45708.439583333333</v>
      </c>
      <c r="F250" s="5" t="s">
        <v>355</v>
      </c>
      <c r="G250" s="5" t="s">
        <v>372</v>
      </c>
      <c r="H250" s="7" t="s">
        <v>559</v>
      </c>
    </row>
    <row r="251" spans="1:8" ht="30" hidden="1" customHeight="1" outlineLevel="1">
      <c r="A251" s="5" t="s">
        <v>14</v>
      </c>
      <c r="B251" s="5" t="s">
        <v>565</v>
      </c>
      <c r="C251" s="5" t="s">
        <v>368</v>
      </c>
      <c r="D251" s="6">
        <v>600000000</v>
      </c>
      <c r="E251" s="8">
        <v>45667.556250000001</v>
      </c>
      <c r="F251" s="5" t="s">
        <v>355</v>
      </c>
      <c r="G251" s="5" t="s">
        <v>372</v>
      </c>
      <c r="H251" s="7" t="s">
        <v>566</v>
      </c>
    </row>
    <row r="252" spans="1:8" ht="30" hidden="1" customHeight="1" outlineLevel="1">
      <c r="A252" s="5" t="s">
        <v>12</v>
      </c>
      <c r="B252" s="5" t="s">
        <v>674</v>
      </c>
      <c r="C252" s="5" t="s">
        <v>675</v>
      </c>
      <c r="D252" s="6">
        <v>99900000</v>
      </c>
      <c r="E252" s="8">
        <v>45436.366666666669</v>
      </c>
      <c r="F252" s="5" t="s">
        <v>62</v>
      </c>
      <c r="G252" s="5" t="s">
        <v>441</v>
      </c>
      <c r="H252" s="7" t="s">
        <v>676</v>
      </c>
    </row>
    <row r="253" spans="1:8" ht="30" hidden="1" customHeight="1" outlineLevel="1">
      <c r="A253" s="5" t="s">
        <v>14</v>
      </c>
      <c r="B253" s="5" t="s">
        <v>454</v>
      </c>
      <c r="C253" s="5" t="s">
        <v>455</v>
      </c>
      <c r="D253" s="6">
        <v>400000000</v>
      </c>
      <c r="E253" s="8">
        <v>45364.700694444437</v>
      </c>
      <c r="F253" s="5" t="s">
        <v>62</v>
      </c>
      <c r="G253" s="5" t="s">
        <v>441</v>
      </c>
      <c r="H253" s="7" t="s">
        <v>456</v>
      </c>
    </row>
    <row r="254" spans="1:8" ht="58" customHeight="1" collapsed="1">
      <c r="A254" s="12" t="s">
        <v>705</v>
      </c>
      <c r="B254" s="13" t="s">
        <v>657</v>
      </c>
      <c r="C254" s="14" t="s">
        <v>66</v>
      </c>
      <c r="D254" s="15">
        <v>11</v>
      </c>
      <c r="E254" s="15">
        <v>11</v>
      </c>
      <c r="F254" s="15">
        <v>2</v>
      </c>
      <c r="G254" s="15">
        <v>9</v>
      </c>
      <c r="H254" s="13" t="s">
        <v>706</v>
      </c>
    </row>
    <row r="255" spans="1:8" ht="32" hidden="1" customHeight="1" outlineLevel="1">
      <c r="A255" s="4" t="s">
        <v>6</v>
      </c>
      <c r="B255" s="4" t="s">
        <v>17</v>
      </c>
      <c r="C255" s="4" t="s">
        <v>18</v>
      </c>
      <c r="D255" s="4" t="s">
        <v>19</v>
      </c>
      <c r="E255" s="4" t="s">
        <v>21</v>
      </c>
      <c r="F255" s="4" t="s">
        <v>357</v>
      </c>
      <c r="G255" s="4" t="s">
        <v>358</v>
      </c>
      <c r="H255" s="4" t="s">
        <v>359</v>
      </c>
    </row>
    <row r="256" spans="1:8" ht="30" hidden="1" customHeight="1" outlineLevel="1">
      <c r="A256" s="5" t="s">
        <v>14</v>
      </c>
      <c r="B256" s="5" t="s">
        <v>420</v>
      </c>
      <c r="C256" s="5" t="s">
        <v>421</v>
      </c>
      <c r="D256" s="6">
        <v>423502000</v>
      </c>
      <c r="E256" s="8">
        <v>46129.834722222222</v>
      </c>
      <c r="F256" s="5" t="s">
        <v>355</v>
      </c>
      <c r="G256" s="5" t="s">
        <v>362</v>
      </c>
      <c r="H256" s="7" t="s">
        <v>707</v>
      </c>
    </row>
    <row r="257" spans="1:8" ht="30" hidden="1" customHeight="1" outlineLevel="1">
      <c r="A257" s="5" t="s">
        <v>14</v>
      </c>
      <c r="B257" s="5" t="s">
        <v>370</v>
      </c>
      <c r="C257" s="5" t="s">
        <v>371</v>
      </c>
      <c r="D257" s="6">
        <v>175000000</v>
      </c>
      <c r="E257" s="8">
        <v>46111.349305555559</v>
      </c>
      <c r="F257" s="5" t="s">
        <v>355</v>
      </c>
      <c r="G257" s="5" t="s">
        <v>372</v>
      </c>
      <c r="H257" s="7" t="s">
        <v>373</v>
      </c>
    </row>
    <row r="258" spans="1:8" ht="30" hidden="1" customHeight="1" outlineLevel="1">
      <c r="A258" s="5" t="s">
        <v>14</v>
      </c>
      <c r="B258" s="5" t="s">
        <v>370</v>
      </c>
      <c r="C258" s="5" t="s">
        <v>371</v>
      </c>
      <c r="D258" s="6">
        <v>175000000</v>
      </c>
      <c r="E258" s="8">
        <v>46111.344444444447</v>
      </c>
      <c r="F258" s="5" t="s">
        <v>62</v>
      </c>
      <c r="G258" s="5" t="s">
        <v>372</v>
      </c>
      <c r="H258" s="7" t="s">
        <v>374</v>
      </c>
    </row>
    <row r="259" spans="1:8" ht="30" hidden="1" customHeight="1" outlineLevel="1">
      <c r="A259" s="5" t="s">
        <v>14</v>
      </c>
      <c r="B259" s="5" t="s">
        <v>370</v>
      </c>
      <c r="C259" s="5" t="s">
        <v>371</v>
      </c>
      <c r="D259" s="6">
        <v>175000000</v>
      </c>
      <c r="E259" s="8">
        <v>46111.343055555553</v>
      </c>
      <c r="F259" s="5" t="s">
        <v>355</v>
      </c>
      <c r="G259" s="5" t="s">
        <v>372</v>
      </c>
      <c r="H259" s="7" t="s">
        <v>375</v>
      </c>
    </row>
    <row r="260" spans="1:8" ht="30" hidden="1" customHeight="1" outlineLevel="1">
      <c r="A260" s="5" t="s">
        <v>14</v>
      </c>
      <c r="B260" s="5" t="s">
        <v>370</v>
      </c>
      <c r="C260" s="5" t="s">
        <v>371</v>
      </c>
      <c r="D260" s="6">
        <v>175000000</v>
      </c>
      <c r="E260" s="8">
        <v>46111.341666666667</v>
      </c>
      <c r="F260" s="5" t="s">
        <v>355</v>
      </c>
      <c r="G260" s="5" t="s">
        <v>372</v>
      </c>
      <c r="H260" s="7" t="s">
        <v>376</v>
      </c>
    </row>
    <row r="261" spans="1:8" ht="30" hidden="1" customHeight="1" outlineLevel="1">
      <c r="A261" s="5" t="s">
        <v>14</v>
      </c>
      <c r="B261" s="5" t="s">
        <v>479</v>
      </c>
      <c r="C261" s="5" t="s">
        <v>434</v>
      </c>
      <c r="D261" s="6">
        <v>180000000</v>
      </c>
      <c r="E261" s="8">
        <v>46073.432638888888</v>
      </c>
      <c r="F261" s="5" t="s">
        <v>355</v>
      </c>
      <c r="G261" s="5" t="s">
        <v>372</v>
      </c>
      <c r="H261" s="7" t="s">
        <v>480</v>
      </c>
    </row>
    <row r="262" spans="1:8" ht="30" hidden="1" customHeight="1" outlineLevel="1">
      <c r="A262" s="5" t="s">
        <v>14</v>
      </c>
      <c r="B262" s="5" t="s">
        <v>387</v>
      </c>
      <c r="C262" s="5" t="s">
        <v>388</v>
      </c>
      <c r="D262" s="6">
        <v>180000000</v>
      </c>
      <c r="E262" s="8">
        <v>46055.579861111109</v>
      </c>
      <c r="F262" s="5" t="s">
        <v>355</v>
      </c>
      <c r="G262" s="5" t="s">
        <v>372</v>
      </c>
      <c r="H262" s="7" t="s">
        <v>389</v>
      </c>
    </row>
    <row r="263" spans="1:8" ht="30" hidden="1" customHeight="1" outlineLevel="1">
      <c r="A263" s="5" t="s">
        <v>12</v>
      </c>
      <c r="B263" s="5" t="s">
        <v>406</v>
      </c>
      <c r="C263" s="5" t="s">
        <v>48</v>
      </c>
      <c r="D263" s="6">
        <v>150000000</v>
      </c>
      <c r="E263" s="8">
        <v>45771.788888888892</v>
      </c>
      <c r="F263" s="5" t="s">
        <v>355</v>
      </c>
      <c r="G263" s="5" t="s">
        <v>372</v>
      </c>
      <c r="H263" s="7" t="s">
        <v>407</v>
      </c>
    </row>
    <row r="264" spans="1:8" ht="30" hidden="1" customHeight="1" outlineLevel="1">
      <c r="A264" s="5" t="s">
        <v>14</v>
      </c>
      <c r="B264" s="5" t="s">
        <v>665</v>
      </c>
      <c r="C264" s="5" t="s">
        <v>409</v>
      </c>
      <c r="D264" s="6">
        <v>39996000</v>
      </c>
      <c r="E264" s="8">
        <v>45758.47152777778</v>
      </c>
      <c r="F264" s="5" t="s">
        <v>62</v>
      </c>
      <c r="G264" s="5" t="s">
        <v>372</v>
      </c>
      <c r="H264" s="7" t="s">
        <v>666</v>
      </c>
    </row>
    <row r="265" spans="1:8" ht="30" hidden="1" customHeight="1" outlineLevel="1">
      <c r="A265" s="5" t="s">
        <v>14</v>
      </c>
      <c r="B265" s="5" t="s">
        <v>436</v>
      </c>
      <c r="C265" s="5" t="s">
        <v>388</v>
      </c>
      <c r="D265" s="6">
        <v>175000000</v>
      </c>
      <c r="E265" s="8">
        <v>45677.425694444442</v>
      </c>
      <c r="F265" s="5" t="s">
        <v>355</v>
      </c>
      <c r="G265" s="5" t="s">
        <v>422</v>
      </c>
      <c r="H265" s="7" t="s">
        <v>437</v>
      </c>
    </row>
    <row r="266" spans="1:8" ht="30" hidden="1" customHeight="1" outlineLevel="1">
      <c r="A266" s="5" t="s">
        <v>14</v>
      </c>
      <c r="B266" s="5" t="s">
        <v>653</v>
      </c>
      <c r="C266" s="5" t="s">
        <v>654</v>
      </c>
      <c r="D266" s="6">
        <v>48000000</v>
      </c>
      <c r="E266" s="8">
        <v>45377.606249999997</v>
      </c>
      <c r="F266" s="5" t="s">
        <v>355</v>
      </c>
      <c r="G266" s="5" t="s">
        <v>441</v>
      </c>
      <c r="H266" s="7" t="s">
        <v>655</v>
      </c>
    </row>
    <row r="267" spans="1:8" ht="58" customHeight="1" collapsed="1">
      <c r="A267" s="12" t="s">
        <v>708</v>
      </c>
      <c r="B267" s="13" t="s">
        <v>709</v>
      </c>
      <c r="C267" s="14" t="s">
        <v>66</v>
      </c>
      <c r="D267" s="15">
        <v>10</v>
      </c>
      <c r="E267" s="15">
        <v>10</v>
      </c>
      <c r="F267" s="15">
        <v>3</v>
      </c>
      <c r="G267" s="15">
        <v>7</v>
      </c>
      <c r="H267" s="13" t="s">
        <v>710</v>
      </c>
    </row>
    <row r="268" spans="1:8" ht="32" hidden="1" customHeight="1" outlineLevel="1">
      <c r="A268" s="4" t="s">
        <v>6</v>
      </c>
      <c r="B268" s="4" t="s">
        <v>17</v>
      </c>
      <c r="C268" s="4" t="s">
        <v>18</v>
      </c>
      <c r="D268" s="4" t="s">
        <v>19</v>
      </c>
      <c r="E268" s="4" t="s">
        <v>21</v>
      </c>
      <c r="F268" s="4" t="s">
        <v>357</v>
      </c>
      <c r="G268" s="4" t="s">
        <v>358</v>
      </c>
      <c r="H268" s="4" t="s">
        <v>359</v>
      </c>
    </row>
    <row r="269" spans="1:8" ht="30" hidden="1" customHeight="1" outlineLevel="1">
      <c r="A269" s="5" t="s">
        <v>12</v>
      </c>
      <c r="B269" s="5" t="s">
        <v>711</v>
      </c>
      <c r="C269" s="5" t="s">
        <v>712</v>
      </c>
      <c r="D269" s="6">
        <v>40000000</v>
      </c>
      <c r="E269" s="8">
        <v>46125.479861111111</v>
      </c>
      <c r="F269" s="5" t="s">
        <v>355</v>
      </c>
      <c r="G269" s="5" t="s">
        <v>362</v>
      </c>
      <c r="H269" s="7" t="s">
        <v>713</v>
      </c>
    </row>
    <row r="270" spans="1:8" ht="30" hidden="1" customHeight="1" outlineLevel="1">
      <c r="A270" s="5" t="s">
        <v>12</v>
      </c>
      <c r="B270" s="5" t="s">
        <v>714</v>
      </c>
      <c r="C270" s="5" t="s">
        <v>715</v>
      </c>
      <c r="D270" s="6">
        <v>100000000</v>
      </c>
      <c r="E270" s="8">
        <v>46107.481249999997</v>
      </c>
      <c r="F270" s="5" t="s">
        <v>355</v>
      </c>
      <c r="G270" s="5" t="s">
        <v>372</v>
      </c>
      <c r="H270" s="7" t="s">
        <v>716</v>
      </c>
    </row>
    <row r="271" spans="1:8" ht="30" hidden="1" customHeight="1" outlineLevel="1">
      <c r="A271" s="5" t="s">
        <v>13</v>
      </c>
      <c r="B271" s="5" t="s">
        <v>573</v>
      </c>
      <c r="C271" s="5" t="s">
        <v>574</v>
      </c>
      <c r="D271" s="6">
        <v>337899320</v>
      </c>
      <c r="E271" s="8">
        <v>46092.643750000003</v>
      </c>
      <c r="F271" s="5" t="s">
        <v>355</v>
      </c>
      <c r="G271" s="5" t="s">
        <v>372</v>
      </c>
      <c r="H271" s="7" t="s">
        <v>575</v>
      </c>
    </row>
    <row r="272" spans="1:8" ht="30" hidden="1" customHeight="1" outlineLevel="1">
      <c r="A272" s="5" t="s">
        <v>12</v>
      </c>
      <c r="B272" s="5" t="s">
        <v>717</v>
      </c>
      <c r="C272" s="5" t="s">
        <v>718</v>
      </c>
      <c r="D272" s="6">
        <v>9900000</v>
      </c>
      <c r="E272" s="8">
        <v>45975.40347222222</v>
      </c>
      <c r="F272" s="5" t="s">
        <v>62</v>
      </c>
      <c r="G272" s="5" t="s">
        <v>719</v>
      </c>
      <c r="H272" s="7" t="s">
        <v>720</v>
      </c>
    </row>
    <row r="273" spans="1:8" ht="30" hidden="1" customHeight="1" outlineLevel="1">
      <c r="A273" s="5" t="s">
        <v>12</v>
      </c>
      <c r="B273" s="5" t="s">
        <v>721</v>
      </c>
      <c r="C273" s="5" t="s">
        <v>718</v>
      </c>
      <c r="D273" s="6">
        <v>9900000</v>
      </c>
      <c r="E273" s="8">
        <v>45975.40347222222</v>
      </c>
      <c r="F273" s="5" t="s">
        <v>62</v>
      </c>
      <c r="G273" s="5" t="s">
        <v>719</v>
      </c>
      <c r="H273" s="7" t="s">
        <v>722</v>
      </c>
    </row>
    <row r="274" spans="1:8" ht="30" hidden="1" customHeight="1" outlineLevel="1">
      <c r="A274" s="5" t="s">
        <v>12</v>
      </c>
      <c r="B274" s="5" t="s">
        <v>723</v>
      </c>
      <c r="C274" s="5" t="s">
        <v>718</v>
      </c>
      <c r="D274" s="6">
        <v>10000000</v>
      </c>
      <c r="E274" s="8">
        <v>45849.446527777778</v>
      </c>
      <c r="F274" s="5" t="s">
        <v>62</v>
      </c>
      <c r="G274" s="5" t="s">
        <v>372</v>
      </c>
      <c r="H274" s="7" t="s">
        <v>724</v>
      </c>
    </row>
    <row r="275" spans="1:8" ht="30" hidden="1" customHeight="1" outlineLevel="1">
      <c r="A275" s="5" t="s">
        <v>13</v>
      </c>
      <c r="B275" s="5" t="s">
        <v>703</v>
      </c>
      <c r="C275" s="5" t="s">
        <v>368</v>
      </c>
      <c r="D275" s="6">
        <v>123000000</v>
      </c>
      <c r="E275" s="8">
        <v>45716.71597222222</v>
      </c>
      <c r="F275" s="5" t="s">
        <v>355</v>
      </c>
      <c r="G275" s="5" t="s">
        <v>372</v>
      </c>
      <c r="H275" s="7" t="s">
        <v>704</v>
      </c>
    </row>
    <row r="276" spans="1:8" ht="30" hidden="1" customHeight="1" outlineLevel="1">
      <c r="A276" s="5" t="s">
        <v>13</v>
      </c>
      <c r="B276" s="5" t="s">
        <v>600</v>
      </c>
      <c r="C276" s="5" t="s">
        <v>563</v>
      </c>
      <c r="D276" s="6">
        <v>113000000</v>
      </c>
      <c r="E276" s="8">
        <v>45441.434027777781</v>
      </c>
      <c r="F276" s="5" t="s">
        <v>355</v>
      </c>
      <c r="G276" s="5" t="s">
        <v>441</v>
      </c>
      <c r="H276" s="7" t="s">
        <v>601</v>
      </c>
    </row>
    <row r="277" spans="1:8" ht="30" hidden="1" customHeight="1" outlineLevel="1">
      <c r="A277" s="5" t="s">
        <v>13</v>
      </c>
      <c r="B277" s="5" t="s">
        <v>725</v>
      </c>
      <c r="C277" s="5" t="s">
        <v>726</v>
      </c>
      <c r="D277" s="6">
        <v>99919371</v>
      </c>
      <c r="E277" s="8">
        <v>45426.724305555559</v>
      </c>
      <c r="F277" s="5" t="s">
        <v>355</v>
      </c>
      <c r="G277" s="5" t="s">
        <v>441</v>
      </c>
      <c r="H277" s="7" t="s">
        <v>727</v>
      </c>
    </row>
    <row r="278" spans="1:8" ht="30" hidden="1" customHeight="1" outlineLevel="1">
      <c r="A278" s="5" t="s">
        <v>13</v>
      </c>
      <c r="B278" s="5" t="s">
        <v>728</v>
      </c>
      <c r="C278" s="5" t="s">
        <v>558</v>
      </c>
      <c r="D278" s="6">
        <v>120000000</v>
      </c>
      <c r="E278" s="8">
        <v>45378.561805555553</v>
      </c>
      <c r="F278" s="5" t="s">
        <v>355</v>
      </c>
      <c r="G278" s="5" t="s">
        <v>441</v>
      </c>
      <c r="H278" s="7" t="s">
        <v>729</v>
      </c>
    </row>
    <row r="279" spans="1:8" ht="58" customHeight="1" collapsed="1">
      <c r="A279" s="12" t="s">
        <v>730</v>
      </c>
      <c r="B279" s="13" t="s">
        <v>14</v>
      </c>
      <c r="C279" s="14" t="s">
        <v>66</v>
      </c>
      <c r="D279" s="15">
        <v>9</v>
      </c>
      <c r="E279" s="15">
        <v>9</v>
      </c>
      <c r="F279" s="15">
        <v>4</v>
      </c>
      <c r="G279" s="15">
        <v>5</v>
      </c>
      <c r="H279" s="13" t="s">
        <v>731</v>
      </c>
    </row>
    <row r="280" spans="1:8" ht="32" hidden="1" customHeight="1" outlineLevel="1">
      <c r="A280" s="4" t="s">
        <v>6</v>
      </c>
      <c r="B280" s="4" t="s">
        <v>17</v>
      </c>
      <c r="C280" s="4" t="s">
        <v>18</v>
      </c>
      <c r="D280" s="4" t="s">
        <v>19</v>
      </c>
      <c r="E280" s="4" t="s">
        <v>21</v>
      </c>
      <c r="F280" s="4" t="s">
        <v>357</v>
      </c>
      <c r="G280" s="4" t="s">
        <v>358</v>
      </c>
      <c r="H280" s="4" t="s">
        <v>359</v>
      </c>
    </row>
    <row r="281" spans="1:8" ht="30" hidden="1" customHeight="1" outlineLevel="1">
      <c r="A281" s="5" t="s">
        <v>14</v>
      </c>
      <c r="B281" s="5" t="s">
        <v>479</v>
      </c>
      <c r="C281" s="5" t="s">
        <v>434</v>
      </c>
      <c r="D281" s="6">
        <v>180000000</v>
      </c>
      <c r="E281" s="8">
        <v>46073.432638888888</v>
      </c>
      <c r="F281" s="5" t="s">
        <v>355</v>
      </c>
      <c r="G281" s="5" t="s">
        <v>372</v>
      </c>
      <c r="H281" s="7" t="s">
        <v>480</v>
      </c>
    </row>
    <row r="282" spans="1:8" ht="30" hidden="1" customHeight="1" outlineLevel="1">
      <c r="A282" s="5" t="s">
        <v>14</v>
      </c>
      <c r="B282" s="5" t="s">
        <v>481</v>
      </c>
      <c r="C282" s="5" t="s">
        <v>434</v>
      </c>
      <c r="D282" s="6">
        <v>300000000</v>
      </c>
      <c r="E282" s="8">
        <v>46073.428472222222</v>
      </c>
      <c r="F282" s="5" t="s">
        <v>355</v>
      </c>
      <c r="G282" s="5" t="s">
        <v>372</v>
      </c>
      <c r="H282" s="7" t="s">
        <v>482</v>
      </c>
    </row>
    <row r="283" spans="1:8" ht="30" hidden="1" customHeight="1" outlineLevel="1">
      <c r="A283" s="5" t="s">
        <v>14</v>
      </c>
      <c r="B283" s="5" t="s">
        <v>543</v>
      </c>
      <c r="C283" s="5" t="s">
        <v>434</v>
      </c>
      <c r="D283" s="6">
        <v>155000000</v>
      </c>
      <c r="E283" s="8">
        <v>46063.388194444437</v>
      </c>
      <c r="F283" s="5" t="s">
        <v>355</v>
      </c>
      <c r="G283" s="5" t="s">
        <v>372</v>
      </c>
      <c r="H283" s="7" t="s">
        <v>544</v>
      </c>
    </row>
    <row r="284" spans="1:8" ht="30" hidden="1" customHeight="1" outlineLevel="1">
      <c r="A284" s="5" t="s">
        <v>14</v>
      </c>
      <c r="B284" s="5" t="s">
        <v>732</v>
      </c>
      <c r="C284" s="5" t="s">
        <v>434</v>
      </c>
      <c r="D284" s="6">
        <v>145000000</v>
      </c>
      <c r="E284" s="8">
        <v>46063.386805555558</v>
      </c>
      <c r="F284" s="5" t="s">
        <v>62</v>
      </c>
      <c r="G284" s="5" t="s">
        <v>372</v>
      </c>
      <c r="H284" s="7" t="s">
        <v>733</v>
      </c>
    </row>
    <row r="285" spans="1:8" ht="30" hidden="1" customHeight="1" outlineLevel="1">
      <c r="A285" s="5" t="s">
        <v>14</v>
      </c>
      <c r="B285" s="5" t="s">
        <v>636</v>
      </c>
      <c r="C285" s="5" t="s">
        <v>637</v>
      </c>
      <c r="D285" s="6">
        <v>77000000</v>
      </c>
      <c r="E285" s="8">
        <v>45804.383333333331</v>
      </c>
      <c r="F285" s="5" t="s">
        <v>355</v>
      </c>
      <c r="G285" s="5" t="s">
        <v>372</v>
      </c>
      <c r="H285" s="7" t="s">
        <v>638</v>
      </c>
    </row>
    <row r="286" spans="1:8" ht="30" hidden="1" customHeight="1" outlineLevel="1">
      <c r="A286" s="5" t="s">
        <v>14</v>
      </c>
      <c r="B286" s="5" t="s">
        <v>560</v>
      </c>
      <c r="C286" s="5" t="s">
        <v>434</v>
      </c>
      <c r="D286" s="6">
        <v>140000000</v>
      </c>
      <c r="E286" s="8">
        <v>45681.563194444447</v>
      </c>
      <c r="F286" s="5" t="s">
        <v>62</v>
      </c>
      <c r="G286" s="5" t="s">
        <v>422</v>
      </c>
      <c r="H286" s="7" t="s">
        <v>561</v>
      </c>
    </row>
    <row r="287" spans="1:8" ht="30" hidden="1" customHeight="1" outlineLevel="1">
      <c r="A287" s="5" t="s">
        <v>14</v>
      </c>
      <c r="B287" s="5" t="s">
        <v>567</v>
      </c>
      <c r="C287" s="5" t="s">
        <v>568</v>
      </c>
      <c r="D287" s="6">
        <v>85000000</v>
      </c>
      <c r="E287" s="8">
        <v>45489.723611111112</v>
      </c>
      <c r="F287" s="5" t="s">
        <v>355</v>
      </c>
      <c r="G287" s="5" t="s">
        <v>441</v>
      </c>
      <c r="H287" s="7" t="s">
        <v>569</v>
      </c>
    </row>
    <row r="288" spans="1:8" ht="30" hidden="1" customHeight="1" outlineLevel="1">
      <c r="A288" s="5" t="s">
        <v>14</v>
      </c>
      <c r="B288" s="5" t="s">
        <v>734</v>
      </c>
      <c r="C288" s="5" t="s">
        <v>637</v>
      </c>
      <c r="D288" s="6">
        <v>52000000</v>
      </c>
      <c r="E288" s="8">
        <v>45457.582638888889</v>
      </c>
      <c r="F288" s="5" t="s">
        <v>62</v>
      </c>
      <c r="G288" s="5" t="s">
        <v>441</v>
      </c>
      <c r="H288" s="7" t="s">
        <v>735</v>
      </c>
    </row>
    <row r="289" spans="1:8" ht="30" hidden="1" customHeight="1" outlineLevel="1">
      <c r="A289" s="5" t="s">
        <v>14</v>
      </c>
      <c r="B289" s="5" t="s">
        <v>461</v>
      </c>
      <c r="C289" s="5" t="s">
        <v>434</v>
      </c>
      <c r="D289" s="6">
        <v>240000000</v>
      </c>
      <c r="E289" s="8">
        <v>45341.571527777778</v>
      </c>
      <c r="F289" s="5" t="s">
        <v>62</v>
      </c>
      <c r="G289" s="5" t="s">
        <v>441</v>
      </c>
      <c r="H289" s="7" t="s">
        <v>462</v>
      </c>
    </row>
    <row r="290" spans="1:8" ht="58" customHeight="1" collapsed="1">
      <c r="A290" s="12" t="s">
        <v>736</v>
      </c>
      <c r="B290" s="13" t="s">
        <v>65</v>
      </c>
      <c r="C290" s="14" t="s">
        <v>66</v>
      </c>
      <c r="D290" s="15">
        <v>9</v>
      </c>
      <c r="E290" s="15">
        <v>9</v>
      </c>
      <c r="F290" s="15">
        <v>3</v>
      </c>
      <c r="G290" s="15">
        <v>6</v>
      </c>
      <c r="H290" s="13" t="s">
        <v>737</v>
      </c>
    </row>
    <row r="291" spans="1:8" ht="32" hidden="1" customHeight="1" outlineLevel="1">
      <c r="A291" s="4" t="s">
        <v>6</v>
      </c>
      <c r="B291" s="4" t="s">
        <v>17</v>
      </c>
      <c r="C291" s="4" t="s">
        <v>18</v>
      </c>
      <c r="D291" s="4" t="s">
        <v>19</v>
      </c>
      <c r="E291" s="4" t="s">
        <v>21</v>
      </c>
      <c r="F291" s="4" t="s">
        <v>357</v>
      </c>
      <c r="G291" s="4" t="s">
        <v>358</v>
      </c>
      <c r="H291" s="4" t="s">
        <v>359</v>
      </c>
    </row>
    <row r="292" spans="1:8" ht="30" hidden="1" customHeight="1" outlineLevel="1">
      <c r="A292" s="5" t="s">
        <v>14</v>
      </c>
      <c r="B292" s="5" t="s">
        <v>738</v>
      </c>
      <c r="C292" s="5" t="s">
        <v>455</v>
      </c>
      <c r="D292" s="6">
        <v>450000000</v>
      </c>
      <c r="E292" s="8">
        <v>46153.827777777777</v>
      </c>
      <c r="F292" s="5" t="s">
        <v>62</v>
      </c>
      <c r="G292" s="5" t="s">
        <v>362</v>
      </c>
      <c r="H292" s="7" t="s">
        <v>739</v>
      </c>
    </row>
    <row r="293" spans="1:8" ht="30" hidden="1" customHeight="1" outlineLevel="1">
      <c r="A293" s="5" t="s">
        <v>14</v>
      </c>
      <c r="B293" s="5" t="s">
        <v>740</v>
      </c>
      <c r="C293" s="5" t="s">
        <v>365</v>
      </c>
      <c r="D293" s="6">
        <v>931000000</v>
      </c>
      <c r="E293" s="8">
        <v>46126.592361111107</v>
      </c>
      <c r="F293" s="5" t="s">
        <v>62</v>
      </c>
      <c r="G293" s="5" t="s">
        <v>362</v>
      </c>
      <c r="H293" s="7" t="s">
        <v>741</v>
      </c>
    </row>
    <row r="294" spans="1:8" ht="30" hidden="1" customHeight="1" outlineLevel="1">
      <c r="A294" s="5" t="s">
        <v>14</v>
      </c>
      <c r="B294" s="5" t="s">
        <v>377</v>
      </c>
      <c r="C294" s="5" t="s">
        <v>368</v>
      </c>
      <c r="D294" s="6">
        <v>600000000</v>
      </c>
      <c r="E294" s="8">
        <v>46105.602083333331</v>
      </c>
      <c r="F294" s="5" t="s">
        <v>355</v>
      </c>
      <c r="G294" s="5" t="s">
        <v>372</v>
      </c>
      <c r="H294" s="7" t="s">
        <v>378</v>
      </c>
    </row>
    <row r="295" spans="1:8" ht="30" hidden="1" customHeight="1" outlineLevel="1">
      <c r="A295" s="5" t="s">
        <v>13</v>
      </c>
      <c r="B295" s="5" t="s">
        <v>742</v>
      </c>
      <c r="C295" s="5" t="s">
        <v>642</v>
      </c>
      <c r="D295" s="6">
        <v>395770000</v>
      </c>
      <c r="E295" s="8">
        <v>46084.581944444442</v>
      </c>
      <c r="F295" s="5" t="s">
        <v>355</v>
      </c>
      <c r="G295" s="5" t="s">
        <v>372</v>
      </c>
      <c r="H295" s="7" t="s">
        <v>743</v>
      </c>
    </row>
    <row r="296" spans="1:8" ht="30" hidden="1" customHeight="1" outlineLevel="1">
      <c r="A296" s="5" t="s">
        <v>12</v>
      </c>
      <c r="B296" s="5" t="s">
        <v>586</v>
      </c>
      <c r="C296" s="5" t="s">
        <v>587</v>
      </c>
      <c r="D296" s="6">
        <v>390000000</v>
      </c>
      <c r="E296" s="8">
        <v>45898.763194444437</v>
      </c>
      <c r="F296" s="5" t="s">
        <v>62</v>
      </c>
      <c r="G296" s="5" t="s">
        <v>372</v>
      </c>
      <c r="H296" s="7" t="s">
        <v>588</v>
      </c>
    </row>
    <row r="297" spans="1:8" ht="30" hidden="1" customHeight="1" outlineLevel="1">
      <c r="A297" s="5" t="s">
        <v>14</v>
      </c>
      <c r="B297" s="5" t="s">
        <v>395</v>
      </c>
      <c r="C297" s="5" t="s">
        <v>396</v>
      </c>
      <c r="D297" s="6">
        <v>700000000</v>
      </c>
      <c r="E297" s="8">
        <v>45824.792361111111</v>
      </c>
      <c r="F297" s="5" t="s">
        <v>355</v>
      </c>
      <c r="G297" s="5" t="s">
        <v>372</v>
      </c>
      <c r="H297" s="7" t="s">
        <v>397</v>
      </c>
    </row>
    <row r="298" spans="1:8" ht="30" hidden="1" customHeight="1" outlineLevel="1">
      <c r="A298" s="5" t="s">
        <v>14</v>
      </c>
      <c r="B298" s="5" t="s">
        <v>414</v>
      </c>
      <c r="C298" s="5" t="s">
        <v>415</v>
      </c>
      <c r="D298" s="6">
        <v>483000000</v>
      </c>
      <c r="E298" s="8">
        <v>45743.609027777777</v>
      </c>
      <c r="F298" s="5" t="s">
        <v>355</v>
      </c>
      <c r="G298" s="5" t="s">
        <v>372</v>
      </c>
      <c r="H298" s="7" t="s">
        <v>416</v>
      </c>
    </row>
    <row r="299" spans="1:8" ht="30" hidden="1" customHeight="1" outlineLevel="1">
      <c r="A299" s="5" t="s">
        <v>14</v>
      </c>
      <c r="B299" s="5" t="s">
        <v>424</v>
      </c>
      <c r="C299" s="5" t="s">
        <v>425</v>
      </c>
      <c r="D299" s="6">
        <v>1600000000</v>
      </c>
      <c r="E299" s="8">
        <v>45698.765972222223</v>
      </c>
      <c r="F299" s="5" t="s">
        <v>355</v>
      </c>
      <c r="G299" s="5" t="s">
        <v>422</v>
      </c>
      <c r="H299" s="7" t="s">
        <v>426</v>
      </c>
    </row>
    <row r="300" spans="1:8" ht="30" hidden="1" customHeight="1" outlineLevel="1">
      <c r="A300" s="5" t="s">
        <v>13</v>
      </c>
      <c r="B300" s="5" t="s">
        <v>641</v>
      </c>
      <c r="C300" s="5" t="s">
        <v>642</v>
      </c>
      <c r="D300" s="6">
        <v>449395142</v>
      </c>
      <c r="E300" s="8">
        <v>45377.46875</v>
      </c>
      <c r="F300" s="5" t="s">
        <v>355</v>
      </c>
      <c r="G300" s="5" t="s">
        <v>441</v>
      </c>
      <c r="H300" s="7" t="s">
        <v>643</v>
      </c>
    </row>
    <row r="301" spans="1:8" ht="58" customHeight="1" collapsed="1">
      <c r="A301" s="12" t="s">
        <v>694</v>
      </c>
      <c r="B301" s="13" t="s">
        <v>657</v>
      </c>
      <c r="C301" s="14" t="s">
        <v>66</v>
      </c>
      <c r="D301" s="15">
        <v>9</v>
      </c>
      <c r="E301" s="15">
        <v>9</v>
      </c>
      <c r="F301" s="15">
        <v>2</v>
      </c>
      <c r="G301" s="15">
        <v>7</v>
      </c>
      <c r="H301" s="13" t="s">
        <v>744</v>
      </c>
    </row>
    <row r="302" spans="1:8" ht="32" hidden="1" customHeight="1" outlineLevel="1">
      <c r="A302" s="4" t="s">
        <v>6</v>
      </c>
      <c r="B302" s="4" t="s">
        <v>17</v>
      </c>
      <c r="C302" s="4" t="s">
        <v>18</v>
      </c>
      <c r="D302" s="4" t="s">
        <v>19</v>
      </c>
      <c r="E302" s="4" t="s">
        <v>21</v>
      </c>
      <c r="F302" s="4" t="s">
        <v>357</v>
      </c>
      <c r="G302" s="4" t="s">
        <v>358</v>
      </c>
      <c r="H302" s="4" t="s">
        <v>359</v>
      </c>
    </row>
    <row r="303" spans="1:8" ht="30" hidden="1" customHeight="1" outlineLevel="1">
      <c r="A303" s="5" t="s">
        <v>14</v>
      </c>
      <c r="B303" s="5" t="s">
        <v>483</v>
      </c>
      <c r="C303" s="5" t="s">
        <v>388</v>
      </c>
      <c r="D303" s="6">
        <v>180000000</v>
      </c>
      <c r="E303" s="8">
        <v>46056.45208333333</v>
      </c>
      <c r="F303" s="5" t="s">
        <v>355</v>
      </c>
      <c r="G303" s="5" t="s">
        <v>372</v>
      </c>
      <c r="H303" s="7" t="s">
        <v>484</v>
      </c>
    </row>
    <row r="304" spans="1:8" ht="30" hidden="1" customHeight="1" outlineLevel="1">
      <c r="A304" s="5" t="s">
        <v>14</v>
      </c>
      <c r="B304" s="5" t="s">
        <v>493</v>
      </c>
      <c r="C304" s="5" t="s">
        <v>54</v>
      </c>
      <c r="D304" s="6">
        <v>252210000</v>
      </c>
      <c r="E304" s="8">
        <v>45887.634722222218</v>
      </c>
      <c r="F304" s="5" t="s">
        <v>355</v>
      </c>
      <c r="G304" s="5" t="s">
        <v>372</v>
      </c>
      <c r="H304" s="7" t="s">
        <v>494</v>
      </c>
    </row>
    <row r="305" spans="1:8" ht="30" hidden="1" customHeight="1" outlineLevel="1">
      <c r="A305" s="5" t="s">
        <v>14</v>
      </c>
      <c r="B305" s="5" t="s">
        <v>404</v>
      </c>
      <c r="C305" s="5" t="s">
        <v>365</v>
      </c>
      <c r="D305" s="6">
        <v>396000000</v>
      </c>
      <c r="E305" s="8">
        <v>45775.44027777778</v>
      </c>
      <c r="F305" s="5" t="s">
        <v>62</v>
      </c>
      <c r="G305" s="5" t="s">
        <v>372</v>
      </c>
      <c r="H305" s="7" t="s">
        <v>405</v>
      </c>
    </row>
    <row r="306" spans="1:8" ht="30" hidden="1" customHeight="1" outlineLevel="1">
      <c r="A306" s="5" t="s">
        <v>12</v>
      </c>
      <c r="B306" s="5" t="s">
        <v>557</v>
      </c>
      <c r="C306" s="5" t="s">
        <v>558</v>
      </c>
      <c r="D306" s="6">
        <v>130000000</v>
      </c>
      <c r="E306" s="8">
        <v>45708.439583333333</v>
      </c>
      <c r="F306" s="5" t="s">
        <v>355</v>
      </c>
      <c r="G306" s="5" t="s">
        <v>372</v>
      </c>
      <c r="H306" s="7" t="s">
        <v>559</v>
      </c>
    </row>
    <row r="307" spans="1:8" ht="30" hidden="1" customHeight="1" outlineLevel="1">
      <c r="A307" s="5" t="s">
        <v>14</v>
      </c>
      <c r="B307" s="5" t="s">
        <v>433</v>
      </c>
      <c r="C307" s="5" t="s">
        <v>434</v>
      </c>
      <c r="D307" s="6">
        <v>150000000</v>
      </c>
      <c r="E307" s="8">
        <v>45681.561805555553</v>
      </c>
      <c r="F307" s="5" t="s">
        <v>355</v>
      </c>
      <c r="G307" s="5" t="s">
        <v>422</v>
      </c>
      <c r="H307" s="7" t="s">
        <v>435</v>
      </c>
    </row>
    <row r="308" spans="1:8" ht="30" hidden="1" customHeight="1" outlineLevel="1">
      <c r="A308" s="5" t="s">
        <v>14</v>
      </c>
      <c r="B308" s="5" t="s">
        <v>519</v>
      </c>
      <c r="C308" s="5" t="s">
        <v>388</v>
      </c>
      <c r="D308" s="6">
        <v>175000000</v>
      </c>
      <c r="E308" s="8">
        <v>45677.416666666657</v>
      </c>
      <c r="F308" s="5" t="s">
        <v>355</v>
      </c>
      <c r="G308" s="5" t="s">
        <v>422</v>
      </c>
      <c r="H308" s="7" t="s">
        <v>520</v>
      </c>
    </row>
    <row r="309" spans="1:8" ht="30" hidden="1" customHeight="1" outlineLevel="1">
      <c r="A309" s="5" t="s">
        <v>14</v>
      </c>
      <c r="B309" s="5" t="s">
        <v>639</v>
      </c>
      <c r="C309" s="5" t="s">
        <v>388</v>
      </c>
      <c r="D309" s="6">
        <v>175000000</v>
      </c>
      <c r="E309" s="8">
        <v>45677.411111111112</v>
      </c>
      <c r="F309" s="5" t="s">
        <v>355</v>
      </c>
      <c r="G309" s="5" t="s">
        <v>422</v>
      </c>
      <c r="H309" s="7" t="s">
        <v>640</v>
      </c>
    </row>
    <row r="310" spans="1:8" ht="30" hidden="1" customHeight="1" outlineLevel="1">
      <c r="A310" s="5" t="s">
        <v>14</v>
      </c>
      <c r="B310" s="5" t="s">
        <v>529</v>
      </c>
      <c r="C310" s="5" t="s">
        <v>434</v>
      </c>
      <c r="D310" s="6">
        <v>180000000</v>
      </c>
      <c r="E310" s="8">
        <v>45341.572916666657</v>
      </c>
      <c r="F310" s="5" t="s">
        <v>62</v>
      </c>
      <c r="G310" s="5" t="s">
        <v>441</v>
      </c>
      <c r="H310" s="7" t="s">
        <v>530</v>
      </c>
    </row>
    <row r="311" spans="1:8" ht="30" hidden="1" customHeight="1" outlineLevel="1">
      <c r="A311" s="5" t="s">
        <v>14</v>
      </c>
      <c r="B311" s="5" t="s">
        <v>536</v>
      </c>
      <c r="C311" s="5" t="s">
        <v>388</v>
      </c>
      <c r="D311" s="6">
        <v>158000000</v>
      </c>
      <c r="E311" s="8">
        <v>45320.393750000003</v>
      </c>
      <c r="F311" s="5" t="s">
        <v>355</v>
      </c>
      <c r="G311" s="5" t="s">
        <v>441</v>
      </c>
      <c r="H311" s="7" t="s">
        <v>537</v>
      </c>
    </row>
    <row r="312" spans="1:8" ht="58" customHeight="1" collapsed="1">
      <c r="A312" s="12" t="s">
        <v>745</v>
      </c>
      <c r="B312" s="13" t="s">
        <v>657</v>
      </c>
      <c r="C312" s="14" t="s">
        <v>66</v>
      </c>
      <c r="D312" s="15">
        <v>9</v>
      </c>
      <c r="E312" s="15">
        <v>9</v>
      </c>
      <c r="F312" s="15">
        <v>1</v>
      </c>
      <c r="G312" s="15">
        <v>8</v>
      </c>
      <c r="H312" s="13" t="s">
        <v>746</v>
      </c>
    </row>
    <row r="313" spans="1:8" ht="32" hidden="1" customHeight="1" outlineLevel="1">
      <c r="A313" s="4" t="s">
        <v>6</v>
      </c>
      <c r="B313" s="4" t="s">
        <v>17</v>
      </c>
      <c r="C313" s="4" t="s">
        <v>18</v>
      </c>
      <c r="D313" s="4" t="s">
        <v>19</v>
      </c>
      <c r="E313" s="4" t="s">
        <v>21</v>
      </c>
      <c r="F313" s="4" t="s">
        <v>357</v>
      </c>
      <c r="G313" s="4" t="s">
        <v>358</v>
      </c>
      <c r="H313" s="4" t="s">
        <v>359</v>
      </c>
    </row>
    <row r="314" spans="1:8" ht="30" hidden="1" customHeight="1" outlineLevel="1">
      <c r="A314" s="5" t="s">
        <v>12</v>
      </c>
      <c r="B314" s="5" t="s">
        <v>385</v>
      </c>
      <c r="C314" s="5" t="s">
        <v>48</v>
      </c>
      <c r="D314" s="6">
        <v>120000000</v>
      </c>
      <c r="E314" s="8">
        <v>46098.436111111107</v>
      </c>
      <c r="F314" s="5" t="s">
        <v>62</v>
      </c>
      <c r="G314" s="5" t="s">
        <v>372</v>
      </c>
      <c r="H314" s="7" t="s">
        <v>386</v>
      </c>
    </row>
    <row r="315" spans="1:8" ht="30" hidden="1" customHeight="1" outlineLevel="1">
      <c r="A315" s="5" t="s">
        <v>14</v>
      </c>
      <c r="B315" s="5" t="s">
        <v>390</v>
      </c>
      <c r="C315" s="5" t="s">
        <v>388</v>
      </c>
      <c r="D315" s="6">
        <v>180000000</v>
      </c>
      <c r="E315" s="8">
        <v>46055.572916666657</v>
      </c>
      <c r="F315" s="5" t="s">
        <v>355</v>
      </c>
      <c r="G315" s="5" t="s">
        <v>372</v>
      </c>
      <c r="H315" s="7" t="s">
        <v>391</v>
      </c>
    </row>
    <row r="316" spans="1:8" ht="30" hidden="1" customHeight="1" outlineLevel="1">
      <c r="A316" s="5" t="s">
        <v>14</v>
      </c>
      <c r="B316" s="5" t="s">
        <v>659</v>
      </c>
      <c r="C316" s="5" t="s">
        <v>48</v>
      </c>
      <c r="D316" s="6">
        <v>200000000</v>
      </c>
      <c r="E316" s="8">
        <v>45798.877083333333</v>
      </c>
      <c r="F316" s="5" t="s">
        <v>355</v>
      </c>
      <c r="G316" s="5" t="s">
        <v>372</v>
      </c>
      <c r="H316" s="7" t="s">
        <v>660</v>
      </c>
    </row>
    <row r="317" spans="1:8" ht="30" hidden="1" customHeight="1" outlineLevel="1">
      <c r="A317" s="5" t="s">
        <v>14</v>
      </c>
      <c r="B317" s="5" t="s">
        <v>506</v>
      </c>
      <c r="C317" s="5" t="s">
        <v>48</v>
      </c>
      <c r="D317" s="6">
        <v>200000000</v>
      </c>
      <c r="E317" s="8">
        <v>45775.740972222222</v>
      </c>
      <c r="F317" s="5" t="s">
        <v>355</v>
      </c>
      <c r="G317" s="5" t="s">
        <v>372</v>
      </c>
      <c r="H317" s="7" t="s">
        <v>507</v>
      </c>
    </row>
    <row r="318" spans="1:8" ht="30" hidden="1" customHeight="1" outlineLevel="1">
      <c r="A318" s="5" t="s">
        <v>12</v>
      </c>
      <c r="B318" s="5" t="s">
        <v>406</v>
      </c>
      <c r="C318" s="5" t="s">
        <v>48</v>
      </c>
      <c r="D318" s="6">
        <v>150000000</v>
      </c>
      <c r="E318" s="8">
        <v>45771.788888888892</v>
      </c>
      <c r="F318" s="5" t="s">
        <v>355</v>
      </c>
      <c r="G318" s="5" t="s">
        <v>372</v>
      </c>
      <c r="H318" s="7" t="s">
        <v>407</v>
      </c>
    </row>
    <row r="319" spans="1:8" ht="30" hidden="1" customHeight="1" outlineLevel="1">
      <c r="A319" s="5" t="s">
        <v>12</v>
      </c>
      <c r="B319" s="5" t="s">
        <v>510</v>
      </c>
      <c r="C319" s="5" t="s">
        <v>48</v>
      </c>
      <c r="D319" s="6">
        <v>120000000</v>
      </c>
      <c r="E319" s="8">
        <v>45742.63958333333</v>
      </c>
      <c r="F319" s="5" t="s">
        <v>355</v>
      </c>
      <c r="G319" s="5" t="s">
        <v>372</v>
      </c>
      <c r="H319" s="7" t="s">
        <v>511</v>
      </c>
    </row>
    <row r="320" spans="1:8" ht="30" hidden="1" customHeight="1" outlineLevel="1">
      <c r="A320" s="5" t="s">
        <v>14</v>
      </c>
      <c r="B320" s="5" t="s">
        <v>420</v>
      </c>
      <c r="C320" s="5" t="s">
        <v>421</v>
      </c>
      <c r="D320" s="6">
        <v>249755840</v>
      </c>
      <c r="E320" s="8">
        <v>45702.660416666673</v>
      </c>
      <c r="F320" s="5" t="s">
        <v>355</v>
      </c>
      <c r="G320" s="5" t="s">
        <v>422</v>
      </c>
      <c r="H320" s="7" t="s">
        <v>423</v>
      </c>
    </row>
    <row r="321" spans="1:8" ht="30" hidden="1" customHeight="1" outlineLevel="1">
      <c r="A321" s="5" t="s">
        <v>14</v>
      </c>
      <c r="B321" s="5" t="s">
        <v>661</v>
      </c>
      <c r="C321" s="5" t="s">
        <v>402</v>
      </c>
      <c r="D321" s="6">
        <v>390000000</v>
      </c>
      <c r="E321" s="8">
        <v>45376.444444444453</v>
      </c>
      <c r="F321" s="5" t="s">
        <v>355</v>
      </c>
      <c r="G321" s="5" t="s">
        <v>441</v>
      </c>
      <c r="H321" s="7" t="s">
        <v>662</v>
      </c>
    </row>
    <row r="322" spans="1:8" ht="30" hidden="1" customHeight="1" outlineLevel="1">
      <c r="A322" s="5" t="s">
        <v>14</v>
      </c>
      <c r="B322" s="5" t="s">
        <v>420</v>
      </c>
      <c r="C322" s="5" t="s">
        <v>421</v>
      </c>
      <c r="D322" s="6">
        <v>200000000</v>
      </c>
      <c r="E322" s="8">
        <v>45350.63958333333</v>
      </c>
      <c r="F322" s="5" t="s">
        <v>355</v>
      </c>
      <c r="G322" s="5" t="s">
        <v>441</v>
      </c>
      <c r="H322" s="7" t="s">
        <v>460</v>
      </c>
    </row>
    <row r="323" spans="1:8" ht="58" customHeight="1" collapsed="1">
      <c r="A323" s="12" t="s">
        <v>747</v>
      </c>
      <c r="B323" s="13" t="s">
        <v>657</v>
      </c>
      <c r="C323" s="14" t="s">
        <v>66</v>
      </c>
      <c r="D323" s="15">
        <v>8</v>
      </c>
      <c r="E323" s="15">
        <v>8</v>
      </c>
      <c r="F323" s="15">
        <v>4</v>
      </c>
      <c r="G323" s="15">
        <v>4</v>
      </c>
      <c r="H323" s="13" t="s">
        <v>748</v>
      </c>
    </row>
    <row r="324" spans="1:8" ht="32" hidden="1" customHeight="1" outlineLevel="1">
      <c r="A324" s="4" t="s">
        <v>6</v>
      </c>
      <c r="B324" s="4" t="s">
        <v>17</v>
      </c>
      <c r="C324" s="4" t="s">
        <v>18</v>
      </c>
      <c r="D324" s="4" t="s">
        <v>19</v>
      </c>
      <c r="E324" s="4" t="s">
        <v>21</v>
      </c>
      <c r="F324" s="4" t="s">
        <v>357</v>
      </c>
      <c r="G324" s="4" t="s">
        <v>358</v>
      </c>
      <c r="H324" s="4" t="s">
        <v>359</v>
      </c>
    </row>
    <row r="325" spans="1:8" ht="30" hidden="1" customHeight="1" outlineLevel="1">
      <c r="A325" s="5" t="s">
        <v>14</v>
      </c>
      <c r="B325" s="5" t="s">
        <v>749</v>
      </c>
      <c r="C325" s="5" t="s">
        <v>577</v>
      </c>
      <c r="D325" s="6">
        <v>143000000</v>
      </c>
      <c r="E325" s="8">
        <v>46146.458333333343</v>
      </c>
      <c r="F325" s="5" t="s">
        <v>355</v>
      </c>
      <c r="G325" s="5" t="s">
        <v>362</v>
      </c>
      <c r="H325" s="7" t="s">
        <v>750</v>
      </c>
    </row>
    <row r="326" spans="1:8" ht="30" hidden="1" customHeight="1" outlineLevel="1">
      <c r="A326" s="5" t="s">
        <v>12</v>
      </c>
      <c r="B326" s="5" t="s">
        <v>634</v>
      </c>
      <c r="C326" s="5" t="s">
        <v>428</v>
      </c>
      <c r="D326" s="6">
        <v>221982000</v>
      </c>
      <c r="E326" s="8">
        <v>46056.679166666669</v>
      </c>
      <c r="F326" s="5" t="s">
        <v>355</v>
      </c>
      <c r="G326" s="5" t="s">
        <v>372</v>
      </c>
      <c r="H326" s="7" t="s">
        <v>635</v>
      </c>
    </row>
    <row r="327" spans="1:8" ht="30" hidden="1" customHeight="1" outlineLevel="1">
      <c r="A327" s="5" t="s">
        <v>12</v>
      </c>
      <c r="B327" s="5" t="s">
        <v>751</v>
      </c>
      <c r="C327" s="5" t="s">
        <v>752</v>
      </c>
      <c r="D327" s="6">
        <v>36950000</v>
      </c>
      <c r="E327" s="8">
        <v>45999.415972222218</v>
      </c>
      <c r="F327" s="5" t="s">
        <v>62</v>
      </c>
      <c r="G327" s="5" t="s">
        <v>719</v>
      </c>
      <c r="H327" s="7" t="s">
        <v>753</v>
      </c>
    </row>
    <row r="328" spans="1:8" ht="30" hidden="1" customHeight="1" outlineLevel="1">
      <c r="A328" s="5" t="s">
        <v>14</v>
      </c>
      <c r="B328" s="5" t="s">
        <v>754</v>
      </c>
      <c r="C328" s="5" t="s">
        <v>48</v>
      </c>
      <c r="D328" s="6">
        <v>200000000</v>
      </c>
      <c r="E328" s="8">
        <v>45833.84652777778</v>
      </c>
      <c r="F328" s="5" t="s">
        <v>62</v>
      </c>
      <c r="G328" s="5" t="s">
        <v>372</v>
      </c>
      <c r="H328" s="7" t="s">
        <v>755</v>
      </c>
    </row>
    <row r="329" spans="1:8" ht="30" hidden="1" customHeight="1" outlineLevel="1">
      <c r="A329" s="5" t="s">
        <v>14</v>
      </c>
      <c r="B329" s="5" t="s">
        <v>589</v>
      </c>
      <c r="C329" s="5" t="s">
        <v>577</v>
      </c>
      <c r="D329" s="6">
        <v>110000000</v>
      </c>
      <c r="E329" s="8">
        <v>45784.394444444442</v>
      </c>
      <c r="F329" s="5" t="s">
        <v>62</v>
      </c>
      <c r="G329" s="5" t="s">
        <v>372</v>
      </c>
      <c r="H329" s="7" t="s">
        <v>590</v>
      </c>
    </row>
    <row r="330" spans="1:8" ht="30" hidden="1" customHeight="1" outlineLevel="1">
      <c r="A330" s="5" t="s">
        <v>12</v>
      </c>
      <c r="B330" s="5" t="s">
        <v>427</v>
      </c>
      <c r="C330" s="5" t="s">
        <v>428</v>
      </c>
      <c r="D330" s="6">
        <v>221585600</v>
      </c>
      <c r="E330" s="8">
        <v>45698.609027777777</v>
      </c>
      <c r="F330" s="5" t="s">
        <v>355</v>
      </c>
      <c r="G330" s="5" t="s">
        <v>422</v>
      </c>
      <c r="H330" s="7" t="s">
        <v>429</v>
      </c>
    </row>
    <row r="331" spans="1:8" ht="30" hidden="1" customHeight="1" outlineLevel="1">
      <c r="A331" s="5" t="s">
        <v>14</v>
      </c>
      <c r="B331" s="5" t="s">
        <v>756</v>
      </c>
      <c r="C331" s="5" t="s">
        <v>757</v>
      </c>
      <c r="D331" s="6">
        <v>69871000</v>
      </c>
      <c r="E331" s="8">
        <v>45439.76666666667</v>
      </c>
      <c r="F331" s="5" t="s">
        <v>62</v>
      </c>
      <c r="G331" s="5" t="s">
        <v>441</v>
      </c>
      <c r="H331" s="7" t="s">
        <v>758</v>
      </c>
    </row>
    <row r="332" spans="1:8" ht="30" hidden="1" customHeight="1" outlineLevel="1">
      <c r="A332" s="5" t="s">
        <v>14</v>
      </c>
      <c r="B332" s="5" t="s">
        <v>531</v>
      </c>
      <c r="C332" s="5" t="s">
        <v>428</v>
      </c>
      <c r="D332" s="6">
        <v>191490900</v>
      </c>
      <c r="E332" s="8">
        <v>45338.544444444437</v>
      </c>
      <c r="F332" s="5" t="s">
        <v>355</v>
      </c>
      <c r="G332" s="5" t="s">
        <v>422</v>
      </c>
      <c r="H332" s="7" t="s">
        <v>532</v>
      </c>
    </row>
    <row r="333" spans="1:8" ht="58" customHeight="1" collapsed="1">
      <c r="A333" s="12" t="s">
        <v>759</v>
      </c>
      <c r="B333" s="13" t="s">
        <v>760</v>
      </c>
      <c r="C333" s="14" t="s">
        <v>66</v>
      </c>
      <c r="D333" s="15">
        <v>8</v>
      </c>
      <c r="E333" s="15">
        <v>8</v>
      </c>
      <c r="F333" s="15">
        <v>2</v>
      </c>
      <c r="G333" s="15">
        <v>6</v>
      </c>
      <c r="H333" s="13" t="s">
        <v>761</v>
      </c>
    </row>
    <row r="334" spans="1:8" ht="32" hidden="1" customHeight="1" outlineLevel="1">
      <c r="A334" s="4" t="s">
        <v>6</v>
      </c>
      <c r="B334" s="4" t="s">
        <v>17</v>
      </c>
      <c r="C334" s="4" t="s">
        <v>18</v>
      </c>
      <c r="D334" s="4" t="s">
        <v>19</v>
      </c>
      <c r="E334" s="4" t="s">
        <v>21</v>
      </c>
      <c r="F334" s="4" t="s">
        <v>357</v>
      </c>
      <c r="G334" s="4" t="s">
        <v>358</v>
      </c>
      <c r="H334" s="4" t="s">
        <v>359</v>
      </c>
    </row>
    <row r="335" spans="1:8" ht="30" hidden="1" customHeight="1" outlineLevel="1">
      <c r="A335" s="5" t="s">
        <v>14</v>
      </c>
      <c r="B335" s="5" t="s">
        <v>740</v>
      </c>
      <c r="C335" s="5" t="s">
        <v>365</v>
      </c>
      <c r="D335" s="6">
        <v>931000000</v>
      </c>
      <c r="E335" s="8">
        <v>46126.592361111107</v>
      </c>
      <c r="F335" s="5" t="s">
        <v>355</v>
      </c>
      <c r="G335" s="5" t="s">
        <v>362</v>
      </c>
      <c r="H335" s="7" t="s">
        <v>741</v>
      </c>
    </row>
    <row r="336" spans="1:8" ht="30" hidden="1" customHeight="1" outlineLevel="1">
      <c r="A336" s="5" t="s">
        <v>14</v>
      </c>
      <c r="B336" s="5" t="s">
        <v>370</v>
      </c>
      <c r="C336" s="5" t="s">
        <v>371</v>
      </c>
      <c r="D336" s="6">
        <v>175000000</v>
      </c>
      <c r="E336" s="8">
        <v>46111.349305555559</v>
      </c>
      <c r="F336" s="5" t="s">
        <v>355</v>
      </c>
      <c r="G336" s="5" t="s">
        <v>372</v>
      </c>
      <c r="H336" s="7" t="s">
        <v>373</v>
      </c>
    </row>
    <row r="337" spans="1:8" ht="30" hidden="1" customHeight="1" outlineLevel="1">
      <c r="A337" s="5" t="s">
        <v>14</v>
      </c>
      <c r="B337" s="5" t="s">
        <v>370</v>
      </c>
      <c r="C337" s="5" t="s">
        <v>371</v>
      </c>
      <c r="D337" s="6">
        <v>175000000</v>
      </c>
      <c r="E337" s="8">
        <v>46111.344444444447</v>
      </c>
      <c r="F337" s="5" t="s">
        <v>355</v>
      </c>
      <c r="G337" s="5" t="s">
        <v>372</v>
      </c>
      <c r="H337" s="7" t="s">
        <v>374</v>
      </c>
    </row>
    <row r="338" spans="1:8" ht="30" hidden="1" customHeight="1" outlineLevel="1">
      <c r="A338" s="5" t="s">
        <v>14</v>
      </c>
      <c r="B338" s="5" t="s">
        <v>370</v>
      </c>
      <c r="C338" s="5" t="s">
        <v>371</v>
      </c>
      <c r="D338" s="6">
        <v>175000000</v>
      </c>
      <c r="E338" s="8">
        <v>46111.343055555553</v>
      </c>
      <c r="F338" s="5" t="s">
        <v>355</v>
      </c>
      <c r="G338" s="5" t="s">
        <v>372</v>
      </c>
      <c r="H338" s="7" t="s">
        <v>375</v>
      </c>
    </row>
    <row r="339" spans="1:8" ht="30" hidden="1" customHeight="1" outlineLevel="1">
      <c r="A339" s="5" t="s">
        <v>14</v>
      </c>
      <c r="B339" s="5" t="s">
        <v>370</v>
      </c>
      <c r="C339" s="5" t="s">
        <v>371</v>
      </c>
      <c r="D339" s="6">
        <v>175000000</v>
      </c>
      <c r="E339" s="8">
        <v>46111.341666666667</v>
      </c>
      <c r="F339" s="5" t="s">
        <v>355</v>
      </c>
      <c r="G339" s="5" t="s">
        <v>372</v>
      </c>
      <c r="H339" s="7" t="s">
        <v>376</v>
      </c>
    </row>
    <row r="340" spans="1:8" ht="30" hidden="1" customHeight="1" outlineLevel="1">
      <c r="A340" s="5" t="s">
        <v>13</v>
      </c>
      <c r="B340" s="5" t="s">
        <v>762</v>
      </c>
      <c r="C340" s="5" t="s">
        <v>396</v>
      </c>
      <c r="D340" s="6">
        <v>110000000</v>
      </c>
      <c r="E340" s="8">
        <v>45845.44027777778</v>
      </c>
      <c r="F340" s="5" t="s">
        <v>62</v>
      </c>
      <c r="G340" s="5" t="s">
        <v>372</v>
      </c>
      <c r="H340" s="7" t="s">
        <v>763</v>
      </c>
    </row>
    <row r="341" spans="1:8" ht="30" hidden="1" customHeight="1" outlineLevel="1">
      <c r="A341" s="5" t="s">
        <v>14</v>
      </c>
      <c r="B341" s="5" t="s">
        <v>438</v>
      </c>
      <c r="C341" s="5" t="s">
        <v>388</v>
      </c>
      <c r="D341" s="6">
        <v>175000000</v>
      </c>
      <c r="E341" s="8">
        <v>45667.554166666669</v>
      </c>
      <c r="F341" s="5" t="s">
        <v>355</v>
      </c>
      <c r="G341" s="5" t="s">
        <v>372</v>
      </c>
      <c r="H341" s="7" t="s">
        <v>439</v>
      </c>
    </row>
    <row r="342" spans="1:8" ht="30" hidden="1" customHeight="1" outlineLevel="1">
      <c r="A342" s="5" t="s">
        <v>13</v>
      </c>
      <c r="B342" s="5" t="s">
        <v>764</v>
      </c>
      <c r="C342" s="5" t="s">
        <v>396</v>
      </c>
      <c r="D342" s="6">
        <v>140000000</v>
      </c>
      <c r="E342" s="8">
        <v>45460.820138888892</v>
      </c>
      <c r="F342" s="5" t="s">
        <v>62</v>
      </c>
      <c r="G342" s="5" t="s">
        <v>441</v>
      </c>
      <c r="H342" s="7" t="s">
        <v>765</v>
      </c>
    </row>
    <row r="343" spans="1:8" ht="58" customHeight="1" collapsed="1">
      <c r="A343" s="12" t="s">
        <v>766</v>
      </c>
      <c r="B343" s="13" t="s">
        <v>657</v>
      </c>
      <c r="C343" s="14" t="s">
        <v>66</v>
      </c>
      <c r="D343" s="15">
        <v>8</v>
      </c>
      <c r="E343" s="15">
        <v>8</v>
      </c>
      <c r="F343" s="15">
        <v>2</v>
      </c>
      <c r="G343" s="15">
        <v>6</v>
      </c>
      <c r="H343" s="13" t="s">
        <v>767</v>
      </c>
    </row>
    <row r="344" spans="1:8" ht="32" hidden="1" customHeight="1" outlineLevel="1">
      <c r="A344" s="4" t="s">
        <v>6</v>
      </c>
      <c r="B344" s="4" t="s">
        <v>17</v>
      </c>
      <c r="C344" s="4" t="s">
        <v>18</v>
      </c>
      <c r="D344" s="4" t="s">
        <v>19</v>
      </c>
      <c r="E344" s="4" t="s">
        <v>21</v>
      </c>
      <c r="F344" s="4" t="s">
        <v>357</v>
      </c>
      <c r="G344" s="4" t="s">
        <v>358</v>
      </c>
      <c r="H344" s="4" t="s">
        <v>359</v>
      </c>
    </row>
    <row r="345" spans="1:8" ht="30" hidden="1" customHeight="1" outlineLevel="1">
      <c r="A345" s="5" t="s">
        <v>12</v>
      </c>
      <c r="B345" s="5" t="s">
        <v>711</v>
      </c>
      <c r="C345" s="5" t="s">
        <v>712</v>
      </c>
      <c r="D345" s="6">
        <v>40000000</v>
      </c>
      <c r="E345" s="8">
        <v>46125.479861111111</v>
      </c>
      <c r="F345" s="5" t="s">
        <v>355</v>
      </c>
      <c r="G345" s="5" t="s">
        <v>362</v>
      </c>
      <c r="H345" s="7" t="s">
        <v>713</v>
      </c>
    </row>
    <row r="346" spans="1:8" ht="30" hidden="1" customHeight="1" outlineLevel="1">
      <c r="A346" s="5" t="s">
        <v>12</v>
      </c>
      <c r="B346" s="5" t="s">
        <v>385</v>
      </c>
      <c r="C346" s="5" t="s">
        <v>48</v>
      </c>
      <c r="D346" s="6">
        <v>120000000</v>
      </c>
      <c r="E346" s="8">
        <v>46098.436111111107</v>
      </c>
      <c r="F346" s="5" t="s">
        <v>355</v>
      </c>
      <c r="G346" s="5" t="s">
        <v>372</v>
      </c>
      <c r="H346" s="7" t="s">
        <v>386</v>
      </c>
    </row>
    <row r="347" spans="1:8" ht="30" hidden="1" customHeight="1" outlineLevel="1">
      <c r="A347" s="5" t="s">
        <v>14</v>
      </c>
      <c r="B347" s="5" t="s">
        <v>626</v>
      </c>
      <c r="C347" s="5" t="s">
        <v>415</v>
      </c>
      <c r="D347" s="6">
        <v>82000000</v>
      </c>
      <c r="E347" s="8">
        <v>45754.677083333343</v>
      </c>
      <c r="F347" s="5" t="s">
        <v>355</v>
      </c>
      <c r="G347" s="5" t="s">
        <v>372</v>
      </c>
      <c r="H347" s="7" t="s">
        <v>627</v>
      </c>
    </row>
    <row r="348" spans="1:8" ht="30" hidden="1" customHeight="1" outlineLevel="1">
      <c r="A348" s="5" t="s">
        <v>12</v>
      </c>
      <c r="B348" s="5" t="s">
        <v>510</v>
      </c>
      <c r="C348" s="5" t="s">
        <v>48</v>
      </c>
      <c r="D348" s="6">
        <v>120000000</v>
      </c>
      <c r="E348" s="8">
        <v>45742.63958333333</v>
      </c>
      <c r="F348" s="5" t="s">
        <v>62</v>
      </c>
      <c r="G348" s="5" t="s">
        <v>372</v>
      </c>
      <c r="H348" s="7" t="s">
        <v>511</v>
      </c>
    </row>
    <row r="349" spans="1:8" ht="30" hidden="1" customHeight="1" outlineLevel="1">
      <c r="A349" s="5" t="s">
        <v>12</v>
      </c>
      <c r="B349" s="5" t="s">
        <v>768</v>
      </c>
      <c r="C349" s="5" t="s">
        <v>48</v>
      </c>
      <c r="D349" s="6">
        <v>100000000</v>
      </c>
      <c r="E349" s="8">
        <v>45488.662499999999</v>
      </c>
      <c r="F349" s="5" t="s">
        <v>62</v>
      </c>
      <c r="G349" s="5" t="s">
        <v>441</v>
      </c>
      <c r="H349" s="7" t="s">
        <v>769</v>
      </c>
    </row>
    <row r="350" spans="1:8" ht="30" hidden="1" customHeight="1" outlineLevel="1">
      <c r="A350" s="5" t="s">
        <v>12</v>
      </c>
      <c r="B350" s="5" t="s">
        <v>770</v>
      </c>
      <c r="C350" s="5" t="s">
        <v>712</v>
      </c>
      <c r="D350" s="6">
        <v>43000000</v>
      </c>
      <c r="E350" s="8">
        <v>45369.456944444442</v>
      </c>
      <c r="F350" s="5" t="s">
        <v>355</v>
      </c>
      <c r="G350" s="5" t="s">
        <v>441</v>
      </c>
      <c r="H350" s="7" t="s">
        <v>771</v>
      </c>
    </row>
    <row r="351" spans="1:8" ht="30" hidden="1" customHeight="1" outlineLevel="1">
      <c r="A351" s="5" t="s">
        <v>14</v>
      </c>
      <c r="B351" s="5" t="s">
        <v>457</v>
      </c>
      <c r="C351" s="5" t="s">
        <v>458</v>
      </c>
      <c r="D351" s="6">
        <v>120000000</v>
      </c>
      <c r="E351" s="8">
        <v>45364.402777777781</v>
      </c>
      <c r="F351" s="5" t="s">
        <v>355</v>
      </c>
      <c r="G351" s="5" t="s">
        <v>441</v>
      </c>
      <c r="H351" s="7" t="s">
        <v>459</v>
      </c>
    </row>
    <row r="352" spans="1:8" ht="30" hidden="1" customHeight="1" outlineLevel="1">
      <c r="A352" s="5" t="s">
        <v>14</v>
      </c>
      <c r="B352" s="5" t="s">
        <v>606</v>
      </c>
      <c r="C352" s="5" t="s">
        <v>607</v>
      </c>
      <c r="D352" s="6">
        <v>250000000</v>
      </c>
      <c r="E352" s="8">
        <v>45349.710416666669</v>
      </c>
      <c r="F352" s="5" t="s">
        <v>355</v>
      </c>
      <c r="G352" s="5" t="s">
        <v>441</v>
      </c>
      <c r="H352" s="7" t="s">
        <v>608</v>
      </c>
    </row>
    <row r="353" spans="1:8" ht="58" customHeight="1" collapsed="1">
      <c r="A353" s="12" t="s">
        <v>772</v>
      </c>
      <c r="B353" s="13" t="s">
        <v>657</v>
      </c>
      <c r="C353" s="14" t="s">
        <v>66</v>
      </c>
      <c r="D353" s="15">
        <v>8</v>
      </c>
      <c r="E353" s="15">
        <v>8</v>
      </c>
      <c r="F353" s="15">
        <v>0</v>
      </c>
      <c r="G353" s="15">
        <v>8</v>
      </c>
      <c r="H353" s="13" t="s">
        <v>773</v>
      </c>
    </row>
    <row r="354" spans="1:8" ht="32" hidden="1" customHeight="1" outlineLevel="1">
      <c r="A354" s="4" t="s">
        <v>6</v>
      </c>
      <c r="B354" s="4" t="s">
        <v>17</v>
      </c>
      <c r="C354" s="4" t="s">
        <v>18</v>
      </c>
      <c r="D354" s="4" t="s">
        <v>19</v>
      </c>
      <c r="E354" s="4" t="s">
        <v>21</v>
      </c>
      <c r="F354" s="4" t="s">
        <v>357</v>
      </c>
      <c r="G354" s="4" t="s">
        <v>358</v>
      </c>
      <c r="H354" s="4" t="s">
        <v>359</v>
      </c>
    </row>
    <row r="355" spans="1:8" ht="30" hidden="1" customHeight="1" outlineLevel="1">
      <c r="A355" s="5" t="s">
        <v>14</v>
      </c>
      <c r="B355" s="5" t="s">
        <v>774</v>
      </c>
      <c r="C355" s="5" t="s">
        <v>757</v>
      </c>
      <c r="D355" s="6">
        <v>49876000</v>
      </c>
      <c r="E355" s="8">
        <v>46188.418055555558</v>
      </c>
      <c r="F355" s="5" t="s">
        <v>355</v>
      </c>
      <c r="G355" s="5" t="s">
        <v>362</v>
      </c>
      <c r="H355" s="7" t="s">
        <v>775</v>
      </c>
    </row>
    <row r="356" spans="1:8" ht="30" hidden="1" customHeight="1" outlineLevel="1">
      <c r="A356" s="5" t="s">
        <v>14</v>
      </c>
      <c r="B356" s="5" t="s">
        <v>370</v>
      </c>
      <c r="C356" s="5" t="s">
        <v>371</v>
      </c>
      <c r="D356" s="6">
        <v>175000000</v>
      </c>
      <c r="E356" s="8">
        <v>46111.349305555559</v>
      </c>
      <c r="F356" s="5" t="s">
        <v>355</v>
      </c>
      <c r="G356" s="5" t="s">
        <v>372</v>
      </c>
      <c r="H356" s="7" t="s">
        <v>373</v>
      </c>
    </row>
    <row r="357" spans="1:8" ht="30" hidden="1" customHeight="1" outlineLevel="1">
      <c r="A357" s="5" t="s">
        <v>14</v>
      </c>
      <c r="B357" s="5" t="s">
        <v>370</v>
      </c>
      <c r="C357" s="5" t="s">
        <v>371</v>
      </c>
      <c r="D357" s="6">
        <v>175000000</v>
      </c>
      <c r="E357" s="8">
        <v>46111.344444444447</v>
      </c>
      <c r="F357" s="5" t="s">
        <v>355</v>
      </c>
      <c r="G357" s="5" t="s">
        <v>372</v>
      </c>
      <c r="H357" s="7" t="s">
        <v>374</v>
      </c>
    </row>
    <row r="358" spans="1:8" ht="30" hidden="1" customHeight="1" outlineLevel="1">
      <c r="A358" s="5" t="s">
        <v>14</v>
      </c>
      <c r="B358" s="5" t="s">
        <v>370</v>
      </c>
      <c r="C358" s="5" t="s">
        <v>371</v>
      </c>
      <c r="D358" s="6">
        <v>175000000</v>
      </c>
      <c r="E358" s="8">
        <v>46111.343055555553</v>
      </c>
      <c r="F358" s="5" t="s">
        <v>355</v>
      </c>
      <c r="G358" s="5" t="s">
        <v>372</v>
      </c>
      <c r="H358" s="7" t="s">
        <v>375</v>
      </c>
    </row>
    <row r="359" spans="1:8" ht="30" hidden="1" customHeight="1" outlineLevel="1">
      <c r="A359" s="5" t="s">
        <v>14</v>
      </c>
      <c r="B359" s="5" t="s">
        <v>370</v>
      </c>
      <c r="C359" s="5" t="s">
        <v>371</v>
      </c>
      <c r="D359" s="6">
        <v>175000000</v>
      </c>
      <c r="E359" s="8">
        <v>46111.341666666667</v>
      </c>
      <c r="F359" s="5" t="s">
        <v>355</v>
      </c>
      <c r="G359" s="5" t="s">
        <v>372</v>
      </c>
      <c r="H359" s="7" t="s">
        <v>376</v>
      </c>
    </row>
    <row r="360" spans="1:8" ht="30" hidden="1" customHeight="1" outlineLevel="1">
      <c r="A360" s="5" t="s">
        <v>12</v>
      </c>
      <c r="B360" s="5" t="s">
        <v>776</v>
      </c>
      <c r="C360" s="5" t="s">
        <v>777</v>
      </c>
      <c r="D360" s="6">
        <v>120000000</v>
      </c>
      <c r="E360" s="8">
        <v>45856.714583333327</v>
      </c>
      <c r="F360" s="5" t="s">
        <v>355</v>
      </c>
      <c r="G360" s="5" t="s">
        <v>372</v>
      </c>
      <c r="H360" s="7" t="s">
        <v>778</v>
      </c>
    </row>
    <row r="361" spans="1:8" ht="30" hidden="1" customHeight="1" outlineLevel="1">
      <c r="A361" s="5" t="s">
        <v>14</v>
      </c>
      <c r="B361" s="5" t="s">
        <v>521</v>
      </c>
      <c r="C361" s="5" t="s">
        <v>388</v>
      </c>
      <c r="D361" s="6">
        <v>175000000</v>
      </c>
      <c r="E361" s="8">
        <v>45667.443055555559</v>
      </c>
      <c r="F361" s="5" t="s">
        <v>355</v>
      </c>
      <c r="G361" s="5" t="s">
        <v>372</v>
      </c>
      <c r="H361" s="7" t="s">
        <v>522</v>
      </c>
    </row>
    <row r="362" spans="1:8" ht="30" hidden="1" customHeight="1" outlineLevel="1">
      <c r="A362" s="5" t="s">
        <v>14</v>
      </c>
      <c r="B362" s="5" t="s">
        <v>465</v>
      </c>
      <c r="C362" s="5" t="s">
        <v>388</v>
      </c>
      <c r="D362" s="6">
        <v>158000000</v>
      </c>
      <c r="E362" s="8">
        <v>45327.409722222219</v>
      </c>
      <c r="F362" s="5" t="s">
        <v>355</v>
      </c>
      <c r="G362" s="5" t="s">
        <v>441</v>
      </c>
      <c r="H362" s="7" t="s">
        <v>466</v>
      </c>
    </row>
    <row r="363" spans="1:8" ht="58" customHeight="1" collapsed="1">
      <c r="A363" s="12" t="s">
        <v>779</v>
      </c>
      <c r="B363" s="13" t="s">
        <v>657</v>
      </c>
      <c r="C363" s="14" t="s">
        <v>66</v>
      </c>
      <c r="D363" s="15">
        <v>8</v>
      </c>
      <c r="E363" s="15">
        <v>8</v>
      </c>
      <c r="F363" s="15">
        <v>0</v>
      </c>
      <c r="G363" s="15">
        <v>8</v>
      </c>
      <c r="H363" s="13" t="s">
        <v>780</v>
      </c>
    </row>
    <row r="364" spans="1:8" ht="32" hidden="1" customHeight="1" outlineLevel="1">
      <c r="A364" s="4" t="s">
        <v>6</v>
      </c>
      <c r="B364" s="4" t="s">
        <v>17</v>
      </c>
      <c r="C364" s="4" t="s">
        <v>18</v>
      </c>
      <c r="D364" s="4" t="s">
        <v>19</v>
      </c>
      <c r="E364" s="4" t="s">
        <v>21</v>
      </c>
      <c r="F364" s="4" t="s">
        <v>357</v>
      </c>
      <c r="G364" s="4" t="s">
        <v>358</v>
      </c>
      <c r="H364" s="4" t="s">
        <v>359</v>
      </c>
    </row>
    <row r="365" spans="1:8" ht="30" hidden="1" customHeight="1" outlineLevel="1">
      <c r="A365" s="5" t="s">
        <v>14</v>
      </c>
      <c r="B365" s="5" t="s">
        <v>367</v>
      </c>
      <c r="C365" s="5" t="s">
        <v>368</v>
      </c>
      <c r="D365" s="6">
        <v>199447000</v>
      </c>
      <c r="E365" s="8">
        <v>46125.581250000003</v>
      </c>
      <c r="F365" s="5" t="s">
        <v>355</v>
      </c>
      <c r="G365" s="5" t="s">
        <v>362</v>
      </c>
      <c r="H365" s="7" t="s">
        <v>369</v>
      </c>
    </row>
    <row r="366" spans="1:8" ht="30" hidden="1" customHeight="1" outlineLevel="1">
      <c r="A366" s="5" t="s">
        <v>12</v>
      </c>
      <c r="B366" s="5" t="s">
        <v>634</v>
      </c>
      <c r="C366" s="5" t="s">
        <v>428</v>
      </c>
      <c r="D366" s="6">
        <v>221982000</v>
      </c>
      <c r="E366" s="8">
        <v>46056.679166666669</v>
      </c>
      <c r="F366" s="5" t="s">
        <v>355</v>
      </c>
      <c r="G366" s="5" t="s">
        <v>372</v>
      </c>
      <c r="H366" s="7" t="s">
        <v>635</v>
      </c>
    </row>
    <row r="367" spans="1:8" ht="30" hidden="1" customHeight="1" outlineLevel="1">
      <c r="A367" s="5" t="s">
        <v>14</v>
      </c>
      <c r="B367" s="5" t="s">
        <v>398</v>
      </c>
      <c r="C367" s="5" t="s">
        <v>399</v>
      </c>
      <c r="D367" s="6">
        <v>110000000</v>
      </c>
      <c r="E367" s="8">
        <v>45812.573611111111</v>
      </c>
      <c r="F367" s="5" t="s">
        <v>355</v>
      </c>
      <c r="G367" s="5" t="s">
        <v>372</v>
      </c>
      <c r="H367" s="7" t="s">
        <v>400</v>
      </c>
    </row>
    <row r="368" spans="1:8" ht="30" hidden="1" customHeight="1" outlineLevel="1">
      <c r="A368" s="5" t="s">
        <v>14</v>
      </c>
      <c r="B368" s="5" t="s">
        <v>626</v>
      </c>
      <c r="C368" s="5" t="s">
        <v>415</v>
      </c>
      <c r="D368" s="6">
        <v>82000000</v>
      </c>
      <c r="E368" s="8">
        <v>45754.677083333343</v>
      </c>
      <c r="F368" s="5" t="s">
        <v>355</v>
      </c>
      <c r="G368" s="5" t="s">
        <v>372</v>
      </c>
      <c r="H368" s="7" t="s">
        <v>627</v>
      </c>
    </row>
    <row r="369" spans="1:8" ht="30" hidden="1" customHeight="1" outlineLevel="1">
      <c r="A369" s="5" t="s">
        <v>12</v>
      </c>
      <c r="B369" s="5" t="s">
        <v>427</v>
      </c>
      <c r="C369" s="5" t="s">
        <v>428</v>
      </c>
      <c r="D369" s="6">
        <v>221585600</v>
      </c>
      <c r="E369" s="8">
        <v>45698.609027777777</v>
      </c>
      <c r="F369" s="5" t="s">
        <v>355</v>
      </c>
      <c r="G369" s="5" t="s">
        <v>422</v>
      </c>
      <c r="H369" s="7" t="s">
        <v>429</v>
      </c>
    </row>
    <row r="370" spans="1:8" ht="30" hidden="1" customHeight="1" outlineLevel="1">
      <c r="A370" s="5" t="s">
        <v>14</v>
      </c>
      <c r="B370" s="5" t="s">
        <v>565</v>
      </c>
      <c r="C370" s="5" t="s">
        <v>368</v>
      </c>
      <c r="D370" s="6">
        <v>600000000</v>
      </c>
      <c r="E370" s="8">
        <v>45667.556250000001</v>
      </c>
      <c r="F370" s="5" t="s">
        <v>355</v>
      </c>
      <c r="G370" s="5" t="s">
        <v>372</v>
      </c>
      <c r="H370" s="7" t="s">
        <v>566</v>
      </c>
    </row>
    <row r="371" spans="1:8" ht="30" hidden="1" customHeight="1" outlineLevel="1">
      <c r="A371" s="5" t="s">
        <v>12</v>
      </c>
      <c r="B371" s="5" t="s">
        <v>781</v>
      </c>
      <c r="C371" s="5" t="s">
        <v>782</v>
      </c>
      <c r="D371" s="6">
        <v>225400000</v>
      </c>
      <c r="E371" s="8">
        <v>45505.723611111112</v>
      </c>
      <c r="F371" s="5" t="s">
        <v>355</v>
      </c>
      <c r="G371" s="5" t="s">
        <v>441</v>
      </c>
      <c r="H371" s="7" t="s">
        <v>783</v>
      </c>
    </row>
    <row r="372" spans="1:8" ht="30" hidden="1" customHeight="1" outlineLevel="1">
      <c r="A372" s="5" t="s">
        <v>14</v>
      </c>
      <c r="B372" s="5" t="s">
        <v>531</v>
      </c>
      <c r="C372" s="5" t="s">
        <v>428</v>
      </c>
      <c r="D372" s="6">
        <v>191490900</v>
      </c>
      <c r="E372" s="8">
        <v>45338.544444444437</v>
      </c>
      <c r="F372" s="5" t="s">
        <v>355</v>
      </c>
      <c r="G372" s="5" t="s">
        <v>422</v>
      </c>
      <c r="H372" s="7" t="s">
        <v>532</v>
      </c>
    </row>
    <row r="373" spans="1:8" ht="58" customHeight="1" collapsed="1">
      <c r="A373" s="12" t="s">
        <v>784</v>
      </c>
      <c r="B373" s="13" t="s">
        <v>14</v>
      </c>
      <c r="C373" s="14" t="s">
        <v>66</v>
      </c>
      <c r="D373" s="15">
        <v>7</v>
      </c>
      <c r="E373" s="15">
        <v>7</v>
      </c>
      <c r="F373" s="15">
        <v>1</v>
      </c>
      <c r="G373" s="15">
        <v>6</v>
      </c>
      <c r="H373" s="13" t="s">
        <v>785</v>
      </c>
    </row>
    <row r="374" spans="1:8" ht="32" hidden="1" customHeight="1" outlineLevel="1">
      <c r="A374" s="4" t="s">
        <v>6</v>
      </c>
      <c r="B374" s="4" t="s">
        <v>17</v>
      </c>
      <c r="C374" s="4" t="s">
        <v>18</v>
      </c>
      <c r="D374" s="4" t="s">
        <v>19</v>
      </c>
      <c r="E374" s="4" t="s">
        <v>21</v>
      </c>
      <c r="F374" s="4" t="s">
        <v>357</v>
      </c>
      <c r="G374" s="4" t="s">
        <v>358</v>
      </c>
      <c r="H374" s="4" t="s">
        <v>359</v>
      </c>
    </row>
    <row r="375" spans="1:8" ht="30" hidden="1" customHeight="1" outlineLevel="1">
      <c r="A375" s="5" t="s">
        <v>14</v>
      </c>
      <c r="B375" s="5" t="s">
        <v>364</v>
      </c>
      <c r="C375" s="5" t="s">
        <v>365</v>
      </c>
      <c r="D375" s="6">
        <v>600820000</v>
      </c>
      <c r="E375" s="8">
        <v>46139.445138888892</v>
      </c>
      <c r="F375" s="5" t="s">
        <v>62</v>
      </c>
      <c r="G375" s="5" t="s">
        <v>362</v>
      </c>
      <c r="H375" s="7" t="s">
        <v>366</v>
      </c>
    </row>
    <row r="376" spans="1:8" ht="30" hidden="1" customHeight="1" outlineLevel="1">
      <c r="A376" s="5" t="s">
        <v>14</v>
      </c>
      <c r="B376" s="5" t="s">
        <v>370</v>
      </c>
      <c r="C376" s="5" t="s">
        <v>371</v>
      </c>
      <c r="D376" s="6">
        <v>175000000</v>
      </c>
      <c r="E376" s="8">
        <v>46111.349305555559</v>
      </c>
      <c r="F376" s="5" t="s">
        <v>355</v>
      </c>
      <c r="G376" s="5" t="s">
        <v>372</v>
      </c>
      <c r="H376" s="7" t="s">
        <v>373</v>
      </c>
    </row>
    <row r="377" spans="1:8" ht="30" hidden="1" customHeight="1" outlineLevel="1">
      <c r="A377" s="5" t="s">
        <v>14</v>
      </c>
      <c r="B377" s="5" t="s">
        <v>370</v>
      </c>
      <c r="C377" s="5" t="s">
        <v>371</v>
      </c>
      <c r="D377" s="6">
        <v>175000000</v>
      </c>
      <c r="E377" s="8">
        <v>46111.344444444447</v>
      </c>
      <c r="F377" s="5" t="s">
        <v>355</v>
      </c>
      <c r="G377" s="5" t="s">
        <v>372</v>
      </c>
      <c r="H377" s="7" t="s">
        <v>374</v>
      </c>
    </row>
    <row r="378" spans="1:8" ht="30" hidden="1" customHeight="1" outlineLevel="1">
      <c r="A378" s="5" t="s">
        <v>14</v>
      </c>
      <c r="B378" s="5" t="s">
        <v>370</v>
      </c>
      <c r="C378" s="5" t="s">
        <v>371</v>
      </c>
      <c r="D378" s="6">
        <v>175000000</v>
      </c>
      <c r="E378" s="8">
        <v>46111.343055555553</v>
      </c>
      <c r="F378" s="5" t="s">
        <v>355</v>
      </c>
      <c r="G378" s="5" t="s">
        <v>372</v>
      </c>
      <c r="H378" s="7" t="s">
        <v>375</v>
      </c>
    </row>
    <row r="379" spans="1:8" ht="30" hidden="1" customHeight="1" outlineLevel="1">
      <c r="A379" s="5" t="s">
        <v>14</v>
      </c>
      <c r="B379" s="5" t="s">
        <v>370</v>
      </c>
      <c r="C379" s="5" t="s">
        <v>371</v>
      </c>
      <c r="D379" s="6">
        <v>175000000</v>
      </c>
      <c r="E379" s="8">
        <v>46111.341666666667</v>
      </c>
      <c r="F379" s="5" t="s">
        <v>355</v>
      </c>
      <c r="G379" s="5" t="s">
        <v>372</v>
      </c>
      <c r="H379" s="7" t="s">
        <v>376</v>
      </c>
    </row>
    <row r="380" spans="1:8" ht="30" hidden="1" customHeight="1" outlineLevel="1">
      <c r="A380" s="5" t="s">
        <v>14</v>
      </c>
      <c r="B380" s="5" t="s">
        <v>377</v>
      </c>
      <c r="C380" s="5" t="s">
        <v>368</v>
      </c>
      <c r="D380" s="6">
        <v>600000000</v>
      </c>
      <c r="E380" s="8">
        <v>46105.602083333331</v>
      </c>
      <c r="F380" s="5" t="s">
        <v>355</v>
      </c>
      <c r="G380" s="5" t="s">
        <v>372</v>
      </c>
      <c r="H380" s="7" t="s">
        <v>378</v>
      </c>
    </row>
    <row r="381" spans="1:8" ht="30" hidden="1" customHeight="1" outlineLevel="1">
      <c r="A381" s="5" t="s">
        <v>14</v>
      </c>
      <c r="B381" s="5" t="s">
        <v>565</v>
      </c>
      <c r="C381" s="5" t="s">
        <v>368</v>
      </c>
      <c r="D381" s="6">
        <v>600000000</v>
      </c>
      <c r="E381" s="8">
        <v>45667.556250000001</v>
      </c>
      <c r="F381" s="5" t="s">
        <v>355</v>
      </c>
      <c r="G381" s="5" t="s">
        <v>372</v>
      </c>
      <c r="H381" s="7" t="s">
        <v>566</v>
      </c>
    </row>
    <row r="382" spans="1:8" ht="58" customHeight="1" collapsed="1">
      <c r="A382" s="12" t="s">
        <v>786</v>
      </c>
      <c r="B382" s="13" t="s">
        <v>760</v>
      </c>
      <c r="C382" s="14" t="s">
        <v>66</v>
      </c>
      <c r="D382" s="15">
        <v>6</v>
      </c>
      <c r="E382" s="15">
        <v>6</v>
      </c>
      <c r="F382" s="15">
        <v>4</v>
      </c>
      <c r="G382" s="15">
        <v>2</v>
      </c>
      <c r="H382" s="13" t="s">
        <v>787</v>
      </c>
    </row>
    <row r="383" spans="1:8" ht="32" hidden="1" customHeight="1" outlineLevel="1">
      <c r="A383" s="4" t="s">
        <v>6</v>
      </c>
      <c r="B383" s="4" t="s">
        <v>17</v>
      </c>
      <c r="C383" s="4" t="s">
        <v>18</v>
      </c>
      <c r="D383" s="4" t="s">
        <v>19</v>
      </c>
      <c r="E383" s="4" t="s">
        <v>21</v>
      </c>
      <c r="F383" s="4" t="s">
        <v>357</v>
      </c>
      <c r="G383" s="4" t="s">
        <v>358</v>
      </c>
      <c r="H383" s="4" t="s">
        <v>359</v>
      </c>
    </row>
    <row r="384" spans="1:8" ht="30" hidden="1" customHeight="1" outlineLevel="1">
      <c r="A384" s="5" t="s">
        <v>14</v>
      </c>
      <c r="B384" s="5" t="s">
        <v>367</v>
      </c>
      <c r="C384" s="5" t="s">
        <v>368</v>
      </c>
      <c r="D384" s="6">
        <v>199447000</v>
      </c>
      <c r="E384" s="8">
        <v>46125.581250000003</v>
      </c>
      <c r="F384" s="5" t="s">
        <v>62</v>
      </c>
      <c r="G384" s="5" t="s">
        <v>362</v>
      </c>
      <c r="H384" s="7" t="s">
        <v>369</v>
      </c>
    </row>
    <row r="385" spans="1:8" ht="30" hidden="1" customHeight="1" outlineLevel="1">
      <c r="A385" s="5" t="s">
        <v>14</v>
      </c>
      <c r="B385" s="5" t="s">
        <v>377</v>
      </c>
      <c r="C385" s="5" t="s">
        <v>368</v>
      </c>
      <c r="D385" s="6">
        <v>600000000</v>
      </c>
      <c r="E385" s="8">
        <v>46105.602083333331</v>
      </c>
      <c r="F385" s="5" t="s">
        <v>62</v>
      </c>
      <c r="G385" s="5" t="s">
        <v>372</v>
      </c>
      <c r="H385" s="7" t="s">
        <v>378</v>
      </c>
    </row>
    <row r="386" spans="1:8" ht="30" hidden="1" customHeight="1" outlineLevel="1">
      <c r="A386" s="5" t="s">
        <v>14</v>
      </c>
      <c r="B386" s="5" t="s">
        <v>565</v>
      </c>
      <c r="C386" s="5" t="s">
        <v>368</v>
      </c>
      <c r="D386" s="6">
        <v>600000000</v>
      </c>
      <c r="E386" s="8">
        <v>45667.556250000001</v>
      </c>
      <c r="F386" s="5" t="s">
        <v>62</v>
      </c>
      <c r="G386" s="5" t="s">
        <v>372</v>
      </c>
      <c r="H386" s="7" t="s">
        <v>566</v>
      </c>
    </row>
    <row r="387" spans="1:8" ht="30" hidden="1" customHeight="1" outlineLevel="1">
      <c r="A387" s="5" t="s">
        <v>13</v>
      </c>
      <c r="B387" s="5" t="s">
        <v>788</v>
      </c>
      <c r="C387" s="5" t="s">
        <v>789</v>
      </c>
      <c r="D387" s="6">
        <v>64000000</v>
      </c>
      <c r="E387" s="8">
        <v>45525.585416666669</v>
      </c>
      <c r="F387" s="5" t="s">
        <v>355</v>
      </c>
      <c r="G387" s="5" t="s">
        <v>441</v>
      </c>
      <c r="H387" s="7" t="s">
        <v>790</v>
      </c>
    </row>
    <row r="388" spans="1:8" ht="30" hidden="1" customHeight="1" outlineLevel="1">
      <c r="A388" s="5" t="s">
        <v>13</v>
      </c>
      <c r="B388" s="5" t="s">
        <v>791</v>
      </c>
      <c r="C388" s="5" t="s">
        <v>368</v>
      </c>
      <c r="D388" s="6">
        <v>131000000</v>
      </c>
      <c r="E388" s="8">
        <v>45355.65</v>
      </c>
      <c r="F388" s="5" t="s">
        <v>355</v>
      </c>
      <c r="G388" s="5" t="s">
        <v>441</v>
      </c>
      <c r="H388" s="7" t="s">
        <v>792</v>
      </c>
    </row>
    <row r="389" spans="1:8" ht="30" hidden="1" customHeight="1" outlineLevel="1">
      <c r="A389" s="5" t="s">
        <v>14</v>
      </c>
      <c r="B389" s="5" t="s">
        <v>570</v>
      </c>
      <c r="C389" s="5" t="s">
        <v>368</v>
      </c>
      <c r="D389" s="6">
        <v>400000000</v>
      </c>
      <c r="E389" s="8">
        <v>45337.634722222218</v>
      </c>
      <c r="F389" s="5" t="s">
        <v>62</v>
      </c>
      <c r="G389" s="5" t="s">
        <v>441</v>
      </c>
      <c r="H389" s="7" t="s">
        <v>571</v>
      </c>
    </row>
    <row r="390" spans="1:8" ht="58" customHeight="1" collapsed="1">
      <c r="A390" s="12" t="s">
        <v>793</v>
      </c>
      <c r="B390" s="13" t="s">
        <v>760</v>
      </c>
      <c r="C390" s="14" t="s">
        <v>66</v>
      </c>
      <c r="D390" s="15">
        <v>6</v>
      </c>
      <c r="E390" s="15">
        <v>6</v>
      </c>
      <c r="F390" s="15">
        <v>4</v>
      </c>
      <c r="G390" s="15">
        <v>2</v>
      </c>
      <c r="H390" s="13" t="s">
        <v>794</v>
      </c>
    </row>
    <row r="391" spans="1:8" ht="32" hidden="1" customHeight="1" outlineLevel="1">
      <c r="A391" s="4" t="s">
        <v>6</v>
      </c>
      <c r="B391" s="4" t="s">
        <v>17</v>
      </c>
      <c r="C391" s="4" t="s">
        <v>18</v>
      </c>
      <c r="D391" s="4" t="s">
        <v>19</v>
      </c>
      <c r="E391" s="4" t="s">
        <v>21</v>
      </c>
      <c r="F391" s="4" t="s">
        <v>357</v>
      </c>
      <c r="G391" s="4" t="s">
        <v>358</v>
      </c>
      <c r="H391" s="4" t="s">
        <v>359</v>
      </c>
    </row>
    <row r="392" spans="1:8" ht="30" hidden="1" customHeight="1" outlineLevel="1">
      <c r="A392" s="5" t="s">
        <v>14</v>
      </c>
      <c r="B392" s="5" t="s">
        <v>795</v>
      </c>
      <c r="C392" s="5" t="s">
        <v>472</v>
      </c>
      <c r="D392" s="6">
        <v>94950000</v>
      </c>
      <c r="E392" s="8">
        <v>46182.636805555558</v>
      </c>
      <c r="F392" s="5" t="s">
        <v>62</v>
      </c>
      <c r="G392" s="5" t="s">
        <v>695</v>
      </c>
      <c r="H392" s="7" t="s">
        <v>796</v>
      </c>
    </row>
    <row r="393" spans="1:8" ht="30" hidden="1" customHeight="1" outlineLevel="1">
      <c r="A393" s="5" t="s">
        <v>14</v>
      </c>
      <c r="B393" s="5" t="s">
        <v>797</v>
      </c>
      <c r="C393" s="5" t="s">
        <v>798</v>
      </c>
      <c r="D393" s="6">
        <v>94000000</v>
      </c>
      <c r="E393" s="8">
        <v>45951.65625</v>
      </c>
      <c r="F393" s="5" t="s">
        <v>62</v>
      </c>
      <c r="G393" s="5" t="s">
        <v>719</v>
      </c>
      <c r="H393" s="7" t="s">
        <v>799</v>
      </c>
    </row>
    <row r="394" spans="1:8" ht="30" hidden="1" customHeight="1" outlineLevel="1">
      <c r="A394" s="5" t="s">
        <v>14</v>
      </c>
      <c r="B394" s="5" t="s">
        <v>800</v>
      </c>
      <c r="C394" s="5" t="s">
        <v>472</v>
      </c>
      <c r="D394" s="6">
        <v>95000000</v>
      </c>
      <c r="E394" s="8">
        <v>45803.42083333333</v>
      </c>
      <c r="F394" s="5" t="s">
        <v>62</v>
      </c>
      <c r="G394" s="5" t="s">
        <v>372</v>
      </c>
      <c r="H394" s="7" t="s">
        <v>801</v>
      </c>
    </row>
    <row r="395" spans="1:8" ht="30" hidden="1" customHeight="1" outlineLevel="1">
      <c r="A395" s="5" t="s">
        <v>14</v>
      </c>
      <c r="B395" s="5" t="s">
        <v>551</v>
      </c>
      <c r="C395" s="5" t="s">
        <v>552</v>
      </c>
      <c r="D395" s="6">
        <v>80000000</v>
      </c>
      <c r="E395" s="8">
        <v>45748.716666666667</v>
      </c>
      <c r="F395" s="5" t="s">
        <v>355</v>
      </c>
      <c r="G395" s="5" t="s">
        <v>372</v>
      </c>
      <c r="H395" s="7" t="s">
        <v>553</v>
      </c>
    </row>
    <row r="396" spans="1:8" ht="30" hidden="1" customHeight="1" outlineLevel="1">
      <c r="A396" s="5" t="s">
        <v>14</v>
      </c>
      <c r="B396" s="5" t="s">
        <v>667</v>
      </c>
      <c r="C396" s="5" t="s">
        <v>48</v>
      </c>
      <c r="D396" s="6">
        <v>55000000</v>
      </c>
      <c r="E396" s="8">
        <v>45743.954861111109</v>
      </c>
      <c r="F396" s="5" t="s">
        <v>355</v>
      </c>
      <c r="G396" s="5" t="s">
        <v>372</v>
      </c>
      <c r="H396" s="7" t="s">
        <v>668</v>
      </c>
    </row>
    <row r="397" spans="1:8" ht="30" hidden="1" customHeight="1" outlineLevel="1">
      <c r="A397" s="5" t="s">
        <v>13</v>
      </c>
      <c r="B397" s="5" t="s">
        <v>802</v>
      </c>
      <c r="C397" s="5" t="s">
        <v>803</v>
      </c>
      <c r="D397" s="6">
        <v>110000000</v>
      </c>
      <c r="E397" s="8">
        <v>45587.706944444442</v>
      </c>
      <c r="F397" s="5" t="s">
        <v>62</v>
      </c>
      <c r="G397" s="5" t="s">
        <v>441</v>
      </c>
      <c r="H397" s="7" t="s">
        <v>804</v>
      </c>
    </row>
    <row r="398" spans="1:8" ht="58" customHeight="1" collapsed="1">
      <c r="A398" s="12" t="s">
        <v>805</v>
      </c>
      <c r="B398" s="13" t="s">
        <v>657</v>
      </c>
      <c r="C398" s="14" t="s">
        <v>66</v>
      </c>
      <c r="D398" s="15">
        <v>6</v>
      </c>
      <c r="E398" s="15">
        <v>6</v>
      </c>
      <c r="F398" s="15">
        <v>3</v>
      </c>
      <c r="G398" s="15">
        <v>3</v>
      </c>
      <c r="H398" s="13" t="s">
        <v>806</v>
      </c>
    </row>
    <row r="399" spans="1:8" ht="32" hidden="1" customHeight="1" outlineLevel="1">
      <c r="A399" s="4" t="s">
        <v>6</v>
      </c>
      <c r="B399" s="4" t="s">
        <v>17</v>
      </c>
      <c r="C399" s="4" t="s">
        <v>18</v>
      </c>
      <c r="D399" s="4" t="s">
        <v>19</v>
      </c>
      <c r="E399" s="4" t="s">
        <v>21</v>
      </c>
      <c r="F399" s="4" t="s">
        <v>357</v>
      </c>
      <c r="G399" s="4" t="s">
        <v>358</v>
      </c>
      <c r="H399" s="4" t="s">
        <v>359</v>
      </c>
    </row>
    <row r="400" spans="1:8" ht="30" hidden="1" customHeight="1" outlineLevel="1">
      <c r="A400" s="5" t="s">
        <v>14</v>
      </c>
      <c r="B400" s="5" t="s">
        <v>807</v>
      </c>
      <c r="C400" s="5" t="s">
        <v>808</v>
      </c>
      <c r="D400" s="6">
        <v>124969662</v>
      </c>
      <c r="E400" s="8">
        <v>46192.526388888888</v>
      </c>
      <c r="F400" s="5" t="s">
        <v>62</v>
      </c>
      <c r="G400" s="5" t="s">
        <v>362</v>
      </c>
      <c r="H400" s="7" t="s">
        <v>809</v>
      </c>
    </row>
    <row r="401" spans="1:8" ht="30" hidden="1" customHeight="1" outlineLevel="1">
      <c r="A401" s="5" t="s">
        <v>14</v>
      </c>
      <c r="B401" s="5" t="s">
        <v>613</v>
      </c>
      <c r="C401" s="5" t="s">
        <v>614</v>
      </c>
      <c r="D401" s="6">
        <v>160000000</v>
      </c>
      <c r="E401" s="8">
        <v>46104.625</v>
      </c>
      <c r="F401" s="5" t="s">
        <v>62</v>
      </c>
      <c r="G401" s="5" t="s">
        <v>372</v>
      </c>
      <c r="H401" s="7" t="s">
        <v>615</v>
      </c>
    </row>
    <row r="402" spans="1:8" ht="30" hidden="1" customHeight="1" outlineLevel="1">
      <c r="A402" s="5" t="s">
        <v>14</v>
      </c>
      <c r="B402" s="5" t="s">
        <v>616</v>
      </c>
      <c r="C402" s="5" t="s">
        <v>431</v>
      </c>
      <c r="D402" s="6">
        <v>230000000</v>
      </c>
      <c r="E402" s="8">
        <v>46062.32916666667</v>
      </c>
      <c r="F402" s="5" t="s">
        <v>355</v>
      </c>
      <c r="G402" s="5" t="s">
        <v>372</v>
      </c>
      <c r="H402" s="7" t="s">
        <v>617</v>
      </c>
    </row>
    <row r="403" spans="1:8" ht="30" hidden="1" customHeight="1" outlineLevel="1">
      <c r="A403" s="5" t="s">
        <v>14</v>
      </c>
      <c r="B403" s="5" t="s">
        <v>506</v>
      </c>
      <c r="C403" s="5" t="s">
        <v>48</v>
      </c>
      <c r="D403" s="6">
        <v>200000000</v>
      </c>
      <c r="E403" s="8">
        <v>45775.740972222222</v>
      </c>
      <c r="F403" s="5" t="s">
        <v>62</v>
      </c>
      <c r="G403" s="5" t="s">
        <v>372</v>
      </c>
      <c r="H403" s="7" t="s">
        <v>507</v>
      </c>
    </row>
    <row r="404" spans="1:8" ht="30" hidden="1" customHeight="1" outlineLevel="1">
      <c r="A404" s="5" t="s">
        <v>12</v>
      </c>
      <c r="B404" s="5" t="s">
        <v>406</v>
      </c>
      <c r="C404" s="5" t="s">
        <v>48</v>
      </c>
      <c r="D404" s="6">
        <v>150000000</v>
      </c>
      <c r="E404" s="8">
        <v>45771.788888888892</v>
      </c>
      <c r="F404" s="5" t="s">
        <v>355</v>
      </c>
      <c r="G404" s="5" t="s">
        <v>372</v>
      </c>
      <c r="H404" s="7" t="s">
        <v>407</v>
      </c>
    </row>
    <row r="405" spans="1:8" ht="30" hidden="1" customHeight="1" outlineLevel="1">
      <c r="A405" s="5" t="s">
        <v>14</v>
      </c>
      <c r="B405" s="5" t="s">
        <v>628</v>
      </c>
      <c r="C405" s="5" t="s">
        <v>607</v>
      </c>
      <c r="D405" s="6">
        <v>227997000</v>
      </c>
      <c r="E405" s="8">
        <v>45727.445833333331</v>
      </c>
      <c r="F405" s="5" t="s">
        <v>355</v>
      </c>
      <c r="G405" s="5" t="s">
        <v>372</v>
      </c>
      <c r="H405" s="7" t="s">
        <v>629</v>
      </c>
    </row>
    <row r="406" spans="1:8" ht="58" customHeight="1" collapsed="1">
      <c r="A406" s="12" t="s">
        <v>810</v>
      </c>
      <c r="B406" s="13" t="s">
        <v>14</v>
      </c>
      <c r="C406" s="14" t="s">
        <v>66</v>
      </c>
      <c r="D406" s="15">
        <v>6</v>
      </c>
      <c r="E406" s="15">
        <v>6</v>
      </c>
      <c r="F406" s="15">
        <v>2</v>
      </c>
      <c r="G406" s="15">
        <v>4</v>
      </c>
      <c r="H406" s="13" t="s">
        <v>811</v>
      </c>
    </row>
    <row r="407" spans="1:8" ht="32" hidden="1" customHeight="1" outlineLevel="1">
      <c r="A407" s="4" t="s">
        <v>6</v>
      </c>
      <c r="B407" s="4" t="s">
        <v>17</v>
      </c>
      <c r="C407" s="4" t="s">
        <v>18</v>
      </c>
      <c r="D407" s="4" t="s">
        <v>19</v>
      </c>
      <c r="E407" s="4" t="s">
        <v>21</v>
      </c>
      <c r="F407" s="4" t="s">
        <v>357</v>
      </c>
      <c r="G407" s="4" t="s">
        <v>358</v>
      </c>
      <c r="H407" s="4" t="s">
        <v>359</v>
      </c>
    </row>
    <row r="408" spans="1:8" ht="30" hidden="1" customHeight="1" outlineLevel="1">
      <c r="A408" s="5" t="s">
        <v>14</v>
      </c>
      <c r="B408" s="5" t="s">
        <v>47</v>
      </c>
      <c r="C408" s="5" t="s">
        <v>48</v>
      </c>
      <c r="D408" s="6">
        <v>138000000</v>
      </c>
      <c r="E408" s="8">
        <v>46181.424305555563</v>
      </c>
      <c r="F408" s="5" t="s">
        <v>62</v>
      </c>
      <c r="G408" s="5" t="s">
        <v>362</v>
      </c>
      <c r="H408" s="7" t="s">
        <v>470</v>
      </c>
    </row>
    <row r="409" spans="1:8" ht="30" hidden="1" customHeight="1" outlineLevel="1">
      <c r="A409" s="5" t="s">
        <v>14</v>
      </c>
      <c r="B409" s="5" t="s">
        <v>370</v>
      </c>
      <c r="C409" s="5" t="s">
        <v>371</v>
      </c>
      <c r="D409" s="6">
        <v>175000000</v>
      </c>
      <c r="E409" s="8">
        <v>46111.349305555559</v>
      </c>
      <c r="F409" s="5" t="s">
        <v>355</v>
      </c>
      <c r="G409" s="5" t="s">
        <v>372</v>
      </c>
      <c r="H409" s="7" t="s">
        <v>373</v>
      </c>
    </row>
    <row r="410" spans="1:8" ht="30" hidden="1" customHeight="1" outlineLevel="1">
      <c r="A410" s="5" t="s">
        <v>14</v>
      </c>
      <c r="B410" s="5" t="s">
        <v>370</v>
      </c>
      <c r="C410" s="5" t="s">
        <v>371</v>
      </c>
      <c r="D410" s="6">
        <v>175000000</v>
      </c>
      <c r="E410" s="8">
        <v>46111.344444444447</v>
      </c>
      <c r="F410" s="5" t="s">
        <v>355</v>
      </c>
      <c r="G410" s="5" t="s">
        <v>372</v>
      </c>
      <c r="H410" s="7" t="s">
        <v>374</v>
      </c>
    </row>
    <row r="411" spans="1:8" ht="30" hidden="1" customHeight="1" outlineLevel="1">
      <c r="A411" s="5" t="s">
        <v>14</v>
      </c>
      <c r="B411" s="5" t="s">
        <v>370</v>
      </c>
      <c r="C411" s="5" t="s">
        <v>371</v>
      </c>
      <c r="D411" s="6">
        <v>175000000</v>
      </c>
      <c r="E411" s="8">
        <v>46111.343055555553</v>
      </c>
      <c r="F411" s="5" t="s">
        <v>355</v>
      </c>
      <c r="G411" s="5" t="s">
        <v>372</v>
      </c>
      <c r="H411" s="7" t="s">
        <v>375</v>
      </c>
    </row>
    <row r="412" spans="1:8" ht="30" hidden="1" customHeight="1" outlineLevel="1">
      <c r="A412" s="5" t="s">
        <v>14</v>
      </c>
      <c r="B412" s="5" t="s">
        <v>370</v>
      </c>
      <c r="C412" s="5" t="s">
        <v>371</v>
      </c>
      <c r="D412" s="6">
        <v>175000000</v>
      </c>
      <c r="E412" s="8">
        <v>46111.341666666667</v>
      </c>
      <c r="F412" s="5" t="s">
        <v>62</v>
      </c>
      <c r="G412" s="5" t="s">
        <v>372</v>
      </c>
      <c r="H412" s="7" t="s">
        <v>376</v>
      </c>
    </row>
    <row r="413" spans="1:8" ht="30" hidden="1" customHeight="1" outlineLevel="1">
      <c r="A413" s="5" t="s">
        <v>14</v>
      </c>
      <c r="B413" s="5" t="s">
        <v>383</v>
      </c>
      <c r="C413" s="5" t="s">
        <v>380</v>
      </c>
      <c r="D413" s="6">
        <v>300000000</v>
      </c>
      <c r="E413" s="8">
        <v>46105.442361111112</v>
      </c>
      <c r="F413" s="5" t="s">
        <v>355</v>
      </c>
      <c r="G413" s="5" t="s">
        <v>372</v>
      </c>
      <c r="H413" s="7" t="s">
        <v>384</v>
      </c>
    </row>
    <row r="414" spans="1:8" ht="58" customHeight="1" collapsed="1">
      <c r="A414" s="12" t="s">
        <v>812</v>
      </c>
      <c r="B414" s="13" t="s">
        <v>14</v>
      </c>
      <c r="C414" s="14" t="s">
        <v>66</v>
      </c>
      <c r="D414" s="15">
        <v>6</v>
      </c>
      <c r="E414" s="15">
        <v>6</v>
      </c>
      <c r="F414" s="15">
        <v>2</v>
      </c>
      <c r="G414" s="15">
        <v>4</v>
      </c>
      <c r="H414" s="13" t="s">
        <v>813</v>
      </c>
    </row>
    <row r="415" spans="1:8" ht="32" hidden="1" customHeight="1" outlineLevel="1">
      <c r="A415" s="4" t="s">
        <v>6</v>
      </c>
      <c r="B415" s="4" t="s">
        <v>17</v>
      </c>
      <c r="C415" s="4" t="s">
        <v>18</v>
      </c>
      <c r="D415" s="4" t="s">
        <v>19</v>
      </c>
      <c r="E415" s="4" t="s">
        <v>21</v>
      </c>
      <c r="F415" s="4" t="s">
        <v>357</v>
      </c>
      <c r="G415" s="4" t="s">
        <v>358</v>
      </c>
      <c r="H415" s="4" t="s">
        <v>359</v>
      </c>
    </row>
    <row r="416" spans="1:8" ht="30" hidden="1" customHeight="1" outlineLevel="1">
      <c r="A416" s="5" t="s">
        <v>14</v>
      </c>
      <c r="B416" s="5" t="s">
        <v>543</v>
      </c>
      <c r="C416" s="5" t="s">
        <v>434</v>
      </c>
      <c r="D416" s="6">
        <v>155000000</v>
      </c>
      <c r="E416" s="8">
        <v>46063.388194444437</v>
      </c>
      <c r="F416" s="5" t="s">
        <v>62</v>
      </c>
      <c r="G416" s="5" t="s">
        <v>372</v>
      </c>
      <c r="H416" s="7" t="s">
        <v>544</v>
      </c>
    </row>
    <row r="417" spans="1:8" ht="30" hidden="1" customHeight="1" outlineLevel="1">
      <c r="A417" s="5" t="s">
        <v>14</v>
      </c>
      <c r="B417" s="5" t="s">
        <v>732</v>
      </c>
      <c r="C417" s="5" t="s">
        <v>434</v>
      </c>
      <c r="D417" s="6">
        <v>145000000</v>
      </c>
      <c r="E417" s="8">
        <v>46063.386805555558</v>
      </c>
      <c r="F417" s="5" t="s">
        <v>355</v>
      </c>
      <c r="G417" s="5" t="s">
        <v>372</v>
      </c>
      <c r="H417" s="7" t="s">
        <v>733</v>
      </c>
    </row>
    <row r="418" spans="1:8" ht="30" hidden="1" customHeight="1" outlineLevel="1">
      <c r="A418" s="5" t="s">
        <v>14</v>
      </c>
      <c r="B418" s="5" t="s">
        <v>560</v>
      </c>
      <c r="C418" s="5" t="s">
        <v>434</v>
      </c>
      <c r="D418" s="6">
        <v>140000000</v>
      </c>
      <c r="E418" s="8">
        <v>45681.563194444447</v>
      </c>
      <c r="F418" s="5" t="s">
        <v>355</v>
      </c>
      <c r="G418" s="5" t="s">
        <v>422</v>
      </c>
      <c r="H418" s="7" t="s">
        <v>561</v>
      </c>
    </row>
    <row r="419" spans="1:8" ht="30" hidden="1" customHeight="1" outlineLevel="1">
      <c r="A419" s="5" t="s">
        <v>14</v>
      </c>
      <c r="B419" s="5" t="s">
        <v>433</v>
      </c>
      <c r="C419" s="5" t="s">
        <v>434</v>
      </c>
      <c r="D419" s="6">
        <v>150000000</v>
      </c>
      <c r="E419" s="8">
        <v>45681.561805555553</v>
      </c>
      <c r="F419" s="5" t="s">
        <v>62</v>
      </c>
      <c r="G419" s="5" t="s">
        <v>422</v>
      </c>
      <c r="H419" s="7" t="s">
        <v>435</v>
      </c>
    </row>
    <row r="420" spans="1:8" ht="30" hidden="1" customHeight="1" outlineLevel="1">
      <c r="A420" s="5" t="s">
        <v>14</v>
      </c>
      <c r="B420" s="5" t="s">
        <v>461</v>
      </c>
      <c r="C420" s="5" t="s">
        <v>434</v>
      </c>
      <c r="D420" s="6">
        <v>240000000</v>
      </c>
      <c r="E420" s="8">
        <v>45341.571527777778</v>
      </c>
      <c r="F420" s="5" t="s">
        <v>355</v>
      </c>
      <c r="G420" s="5" t="s">
        <v>441</v>
      </c>
      <c r="H420" s="7" t="s">
        <v>462</v>
      </c>
    </row>
    <row r="421" spans="1:8" ht="30" hidden="1" customHeight="1" outlineLevel="1">
      <c r="A421" s="5" t="s">
        <v>14</v>
      </c>
      <c r="B421" s="5" t="s">
        <v>463</v>
      </c>
      <c r="C421" s="5" t="s">
        <v>434</v>
      </c>
      <c r="D421" s="6">
        <v>240000000</v>
      </c>
      <c r="E421" s="8">
        <v>45341.570138888892</v>
      </c>
      <c r="F421" s="5" t="s">
        <v>355</v>
      </c>
      <c r="G421" s="5" t="s">
        <v>441</v>
      </c>
      <c r="H421" s="7" t="s">
        <v>464</v>
      </c>
    </row>
    <row r="422" spans="1:8" ht="58" customHeight="1" collapsed="1">
      <c r="A422" s="12" t="s">
        <v>814</v>
      </c>
      <c r="B422" s="13" t="s">
        <v>65</v>
      </c>
      <c r="C422" s="14" t="s">
        <v>66</v>
      </c>
      <c r="D422" s="15">
        <v>6</v>
      </c>
      <c r="E422" s="15">
        <v>6</v>
      </c>
      <c r="F422" s="15">
        <v>2</v>
      </c>
      <c r="G422" s="15">
        <v>4</v>
      </c>
      <c r="H422" s="13" t="s">
        <v>815</v>
      </c>
    </row>
    <row r="423" spans="1:8" ht="32" hidden="1" customHeight="1" outlineLevel="1">
      <c r="A423" s="4" t="s">
        <v>6</v>
      </c>
      <c r="B423" s="4" t="s">
        <v>17</v>
      </c>
      <c r="C423" s="4" t="s">
        <v>18</v>
      </c>
      <c r="D423" s="4" t="s">
        <v>19</v>
      </c>
      <c r="E423" s="4" t="s">
        <v>21</v>
      </c>
      <c r="F423" s="4" t="s">
        <v>357</v>
      </c>
      <c r="G423" s="4" t="s">
        <v>358</v>
      </c>
      <c r="H423" s="4" t="s">
        <v>359</v>
      </c>
    </row>
    <row r="424" spans="1:8" ht="30" hidden="1" customHeight="1" outlineLevel="1">
      <c r="A424" s="5" t="s">
        <v>14</v>
      </c>
      <c r="B424" s="5" t="s">
        <v>738</v>
      </c>
      <c r="C424" s="5" t="s">
        <v>455</v>
      </c>
      <c r="D424" s="6">
        <v>450000000</v>
      </c>
      <c r="E424" s="8">
        <v>46153.827777777777</v>
      </c>
      <c r="F424" s="5" t="s">
        <v>355</v>
      </c>
      <c r="G424" s="5" t="s">
        <v>362</v>
      </c>
      <c r="H424" s="7" t="s">
        <v>739</v>
      </c>
    </row>
    <row r="425" spans="1:8" ht="30" hidden="1" customHeight="1" outlineLevel="1">
      <c r="A425" s="5" t="s">
        <v>12</v>
      </c>
      <c r="B425" s="5" t="s">
        <v>586</v>
      </c>
      <c r="C425" s="5" t="s">
        <v>587</v>
      </c>
      <c r="D425" s="6">
        <v>390000000</v>
      </c>
      <c r="E425" s="8">
        <v>45898.763194444437</v>
      </c>
      <c r="F425" s="5" t="s">
        <v>355</v>
      </c>
      <c r="G425" s="5" t="s">
        <v>372</v>
      </c>
      <c r="H425" s="7" t="s">
        <v>588</v>
      </c>
    </row>
    <row r="426" spans="1:8" ht="30" hidden="1" customHeight="1" outlineLevel="1">
      <c r="A426" s="5" t="s">
        <v>13</v>
      </c>
      <c r="B426" s="5" t="s">
        <v>703</v>
      </c>
      <c r="C426" s="5" t="s">
        <v>368</v>
      </c>
      <c r="D426" s="6">
        <v>123000000</v>
      </c>
      <c r="E426" s="8">
        <v>45716.71597222222</v>
      </c>
      <c r="F426" s="5" t="s">
        <v>62</v>
      </c>
      <c r="G426" s="5" t="s">
        <v>372</v>
      </c>
      <c r="H426" s="7" t="s">
        <v>704</v>
      </c>
    </row>
    <row r="427" spans="1:8" ht="30" hidden="1" customHeight="1" outlineLevel="1">
      <c r="A427" s="5" t="s">
        <v>14</v>
      </c>
      <c r="B427" s="5" t="s">
        <v>565</v>
      </c>
      <c r="C427" s="5" t="s">
        <v>368</v>
      </c>
      <c r="D427" s="6">
        <v>600000000</v>
      </c>
      <c r="E427" s="8">
        <v>45667.556250000001</v>
      </c>
      <c r="F427" s="5" t="s">
        <v>355</v>
      </c>
      <c r="G427" s="5" t="s">
        <v>372</v>
      </c>
      <c r="H427" s="7" t="s">
        <v>566</v>
      </c>
    </row>
    <row r="428" spans="1:8" ht="30" hidden="1" customHeight="1" outlineLevel="1">
      <c r="A428" s="5" t="s">
        <v>14</v>
      </c>
      <c r="B428" s="5" t="s">
        <v>454</v>
      </c>
      <c r="C428" s="5" t="s">
        <v>455</v>
      </c>
      <c r="D428" s="6">
        <v>400000000</v>
      </c>
      <c r="E428" s="8">
        <v>45364.700694444437</v>
      </c>
      <c r="F428" s="5" t="s">
        <v>355</v>
      </c>
      <c r="G428" s="5" t="s">
        <v>441</v>
      </c>
      <c r="H428" s="7" t="s">
        <v>456</v>
      </c>
    </row>
    <row r="429" spans="1:8" ht="30" hidden="1" customHeight="1" outlineLevel="1">
      <c r="A429" s="5" t="s">
        <v>13</v>
      </c>
      <c r="B429" s="5" t="s">
        <v>791</v>
      </c>
      <c r="C429" s="5" t="s">
        <v>368</v>
      </c>
      <c r="D429" s="6">
        <v>131000000</v>
      </c>
      <c r="E429" s="8">
        <v>45355.65</v>
      </c>
      <c r="F429" s="5" t="s">
        <v>62</v>
      </c>
      <c r="G429" s="5" t="s">
        <v>441</v>
      </c>
      <c r="H429" s="7" t="s">
        <v>792</v>
      </c>
    </row>
    <row r="430" spans="1:8" ht="58" customHeight="1" collapsed="1">
      <c r="A430" s="12" t="s">
        <v>816</v>
      </c>
      <c r="B430" s="13" t="s">
        <v>14</v>
      </c>
      <c r="C430" s="14" t="s">
        <v>66</v>
      </c>
      <c r="D430" s="15">
        <v>6</v>
      </c>
      <c r="E430" s="15">
        <v>6</v>
      </c>
      <c r="F430" s="15">
        <v>1</v>
      </c>
      <c r="G430" s="15">
        <v>5</v>
      </c>
      <c r="H430" s="13" t="s">
        <v>817</v>
      </c>
    </row>
    <row r="431" spans="1:8" ht="32" hidden="1" customHeight="1" outlineLevel="1">
      <c r="A431" s="4" t="s">
        <v>6</v>
      </c>
      <c r="B431" s="4" t="s">
        <v>17</v>
      </c>
      <c r="C431" s="4" t="s">
        <v>18</v>
      </c>
      <c r="D431" s="4" t="s">
        <v>19</v>
      </c>
      <c r="E431" s="4" t="s">
        <v>21</v>
      </c>
      <c r="F431" s="4" t="s">
        <v>357</v>
      </c>
      <c r="G431" s="4" t="s">
        <v>358</v>
      </c>
      <c r="H431" s="4" t="s">
        <v>359</v>
      </c>
    </row>
    <row r="432" spans="1:8" ht="30" hidden="1" customHeight="1" outlineLevel="1">
      <c r="A432" s="5" t="s">
        <v>14</v>
      </c>
      <c r="B432" s="5" t="s">
        <v>370</v>
      </c>
      <c r="C432" s="5" t="s">
        <v>371</v>
      </c>
      <c r="D432" s="6">
        <v>175000000</v>
      </c>
      <c r="E432" s="8">
        <v>46111.349305555559</v>
      </c>
      <c r="F432" s="5" t="s">
        <v>355</v>
      </c>
      <c r="G432" s="5" t="s">
        <v>372</v>
      </c>
      <c r="H432" s="7" t="s">
        <v>373</v>
      </c>
    </row>
    <row r="433" spans="1:8" ht="30" hidden="1" customHeight="1" outlineLevel="1">
      <c r="A433" s="5" t="s">
        <v>14</v>
      </c>
      <c r="B433" s="5" t="s">
        <v>370</v>
      </c>
      <c r="C433" s="5" t="s">
        <v>371</v>
      </c>
      <c r="D433" s="6">
        <v>175000000</v>
      </c>
      <c r="E433" s="8">
        <v>46111.344444444447</v>
      </c>
      <c r="F433" s="5" t="s">
        <v>355</v>
      </c>
      <c r="G433" s="5" t="s">
        <v>372</v>
      </c>
      <c r="H433" s="7" t="s">
        <v>374</v>
      </c>
    </row>
    <row r="434" spans="1:8" ht="30" hidden="1" customHeight="1" outlineLevel="1">
      <c r="A434" s="5" t="s">
        <v>14</v>
      </c>
      <c r="B434" s="5" t="s">
        <v>370</v>
      </c>
      <c r="C434" s="5" t="s">
        <v>371</v>
      </c>
      <c r="D434" s="6">
        <v>175000000</v>
      </c>
      <c r="E434" s="8">
        <v>46111.343055555553</v>
      </c>
      <c r="F434" s="5" t="s">
        <v>355</v>
      </c>
      <c r="G434" s="5" t="s">
        <v>372</v>
      </c>
      <c r="H434" s="7" t="s">
        <v>375</v>
      </c>
    </row>
    <row r="435" spans="1:8" ht="30" hidden="1" customHeight="1" outlineLevel="1">
      <c r="A435" s="5" t="s">
        <v>14</v>
      </c>
      <c r="B435" s="5" t="s">
        <v>370</v>
      </c>
      <c r="C435" s="5" t="s">
        <v>371</v>
      </c>
      <c r="D435" s="6">
        <v>175000000</v>
      </c>
      <c r="E435" s="8">
        <v>46111.341666666667</v>
      </c>
      <c r="F435" s="5" t="s">
        <v>355</v>
      </c>
      <c r="G435" s="5" t="s">
        <v>372</v>
      </c>
      <c r="H435" s="7" t="s">
        <v>376</v>
      </c>
    </row>
    <row r="436" spans="1:8" ht="30" hidden="1" customHeight="1" outlineLevel="1">
      <c r="A436" s="5" t="s">
        <v>14</v>
      </c>
      <c r="B436" s="5" t="s">
        <v>818</v>
      </c>
      <c r="C436" s="5" t="s">
        <v>819</v>
      </c>
      <c r="D436" s="6">
        <v>79755000</v>
      </c>
      <c r="E436" s="8">
        <v>45477.65347222222</v>
      </c>
      <c r="F436" s="5" t="s">
        <v>62</v>
      </c>
      <c r="G436" s="5" t="s">
        <v>441</v>
      </c>
      <c r="H436" s="7" t="s">
        <v>820</v>
      </c>
    </row>
    <row r="437" spans="1:8" ht="30" hidden="1" customHeight="1" outlineLevel="1">
      <c r="A437" s="5" t="s">
        <v>14</v>
      </c>
      <c r="B437" s="5" t="s">
        <v>465</v>
      </c>
      <c r="C437" s="5" t="s">
        <v>388</v>
      </c>
      <c r="D437" s="6">
        <v>158000000</v>
      </c>
      <c r="E437" s="8">
        <v>45327.409722222219</v>
      </c>
      <c r="F437" s="5" t="s">
        <v>355</v>
      </c>
      <c r="G437" s="5" t="s">
        <v>441</v>
      </c>
      <c r="H437" s="7" t="s">
        <v>466</v>
      </c>
    </row>
  </sheetData>
  <mergeCells count="2">
    <mergeCell ref="A2:H2"/>
    <mergeCell ref="A1:H1"/>
  </mergeCells>
  <phoneticPr fontId="10" type="noConversion"/>
  <hyperlinks>
    <hyperlink ref="H6" r:id="rId1" xr:uid="{00000000-0004-0000-0200-000000000000}"/>
    <hyperlink ref="H7" r:id="rId2" xr:uid="{00000000-0004-0000-0200-000001000000}"/>
    <hyperlink ref="H8" r:id="rId3" xr:uid="{00000000-0004-0000-0200-000002000000}"/>
    <hyperlink ref="H9" r:id="rId4" xr:uid="{00000000-0004-0000-0200-000003000000}"/>
    <hyperlink ref="H10" r:id="rId5" xr:uid="{00000000-0004-0000-0200-000004000000}"/>
    <hyperlink ref="H11" r:id="rId6" xr:uid="{00000000-0004-0000-0200-000005000000}"/>
    <hyperlink ref="H12" r:id="rId7" xr:uid="{00000000-0004-0000-0200-000006000000}"/>
    <hyperlink ref="H13" r:id="rId8" xr:uid="{00000000-0004-0000-0200-000007000000}"/>
    <hyperlink ref="H14" r:id="rId9" xr:uid="{00000000-0004-0000-0200-000008000000}"/>
    <hyperlink ref="H15" r:id="rId10" xr:uid="{00000000-0004-0000-0200-000009000000}"/>
    <hyperlink ref="H16" r:id="rId11" xr:uid="{00000000-0004-0000-0200-00000A000000}"/>
    <hyperlink ref="H17" r:id="rId12" xr:uid="{00000000-0004-0000-0200-00000B000000}"/>
    <hyperlink ref="H18" r:id="rId13" xr:uid="{00000000-0004-0000-0200-00000C000000}"/>
    <hyperlink ref="H19" r:id="rId14" xr:uid="{00000000-0004-0000-0200-00000D000000}"/>
    <hyperlink ref="H20" r:id="rId15" xr:uid="{00000000-0004-0000-0200-00000E000000}"/>
    <hyperlink ref="H21" r:id="rId16" xr:uid="{00000000-0004-0000-0200-00000F000000}"/>
    <hyperlink ref="H22" r:id="rId17" xr:uid="{00000000-0004-0000-0200-000010000000}"/>
    <hyperlink ref="H23" r:id="rId18" xr:uid="{00000000-0004-0000-0200-000011000000}"/>
    <hyperlink ref="H24" r:id="rId19" xr:uid="{00000000-0004-0000-0200-000012000000}"/>
    <hyperlink ref="H25" r:id="rId20" xr:uid="{00000000-0004-0000-0200-000013000000}"/>
    <hyperlink ref="H26" r:id="rId21" xr:uid="{00000000-0004-0000-0200-000014000000}"/>
    <hyperlink ref="H27" r:id="rId22" xr:uid="{00000000-0004-0000-0200-000015000000}"/>
    <hyperlink ref="H28" r:id="rId23" xr:uid="{00000000-0004-0000-0200-000016000000}"/>
    <hyperlink ref="H29" r:id="rId24" xr:uid="{00000000-0004-0000-0200-000017000000}"/>
    <hyperlink ref="H30" r:id="rId25" xr:uid="{00000000-0004-0000-0200-000018000000}"/>
    <hyperlink ref="H31" r:id="rId26" xr:uid="{00000000-0004-0000-0200-000019000000}"/>
    <hyperlink ref="H32" r:id="rId27" xr:uid="{00000000-0004-0000-0200-00001A000000}"/>
    <hyperlink ref="H33" r:id="rId28" xr:uid="{00000000-0004-0000-0200-00001B000000}"/>
    <hyperlink ref="H34" r:id="rId29" xr:uid="{00000000-0004-0000-0200-00001C000000}"/>
    <hyperlink ref="H35" r:id="rId30" xr:uid="{00000000-0004-0000-0200-00001D000000}"/>
    <hyperlink ref="H36" r:id="rId31" xr:uid="{00000000-0004-0000-0200-00001E000000}"/>
    <hyperlink ref="H37" r:id="rId32" xr:uid="{00000000-0004-0000-0200-00001F000000}"/>
    <hyperlink ref="H38" r:id="rId33" xr:uid="{00000000-0004-0000-0200-000020000000}"/>
    <hyperlink ref="H39" r:id="rId34" xr:uid="{00000000-0004-0000-0200-000021000000}"/>
    <hyperlink ref="H40" r:id="rId35" xr:uid="{00000000-0004-0000-0200-000022000000}"/>
    <hyperlink ref="H41" r:id="rId36" xr:uid="{00000000-0004-0000-0200-000023000000}"/>
    <hyperlink ref="H42" r:id="rId37" xr:uid="{00000000-0004-0000-0200-000024000000}"/>
    <hyperlink ref="H43" r:id="rId38" xr:uid="{00000000-0004-0000-0200-000025000000}"/>
    <hyperlink ref="H44" r:id="rId39" xr:uid="{00000000-0004-0000-0200-000026000000}"/>
    <hyperlink ref="H45" r:id="rId40" xr:uid="{00000000-0004-0000-0200-000027000000}"/>
    <hyperlink ref="H46" r:id="rId41" xr:uid="{00000000-0004-0000-0200-000028000000}"/>
    <hyperlink ref="H47" r:id="rId42" xr:uid="{00000000-0004-0000-0200-000029000000}"/>
    <hyperlink ref="H50" r:id="rId43" xr:uid="{00000000-0004-0000-0200-00002A000000}"/>
    <hyperlink ref="H51" r:id="rId44" xr:uid="{00000000-0004-0000-0200-00002B000000}"/>
    <hyperlink ref="H52" r:id="rId45" xr:uid="{00000000-0004-0000-0200-00002C000000}"/>
    <hyperlink ref="H53" r:id="rId46" xr:uid="{00000000-0004-0000-0200-00002D000000}"/>
    <hyperlink ref="H54" r:id="rId47" xr:uid="{00000000-0004-0000-0200-00002E000000}"/>
    <hyperlink ref="H55" r:id="rId48" xr:uid="{00000000-0004-0000-0200-00002F000000}"/>
    <hyperlink ref="H56" r:id="rId49" xr:uid="{00000000-0004-0000-0200-000030000000}"/>
    <hyperlink ref="H57" r:id="rId50" xr:uid="{00000000-0004-0000-0200-000031000000}"/>
    <hyperlink ref="H58" r:id="rId51" xr:uid="{00000000-0004-0000-0200-000032000000}"/>
    <hyperlink ref="H59" r:id="rId52" xr:uid="{00000000-0004-0000-0200-000033000000}"/>
    <hyperlink ref="H60" r:id="rId53" xr:uid="{00000000-0004-0000-0200-000034000000}"/>
    <hyperlink ref="H61" r:id="rId54" xr:uid="{00000000-0004-0000-0200-000035000000}"/>
    <hyperlink ref="H62" r:id="rId55" xr:uid="{00000000-0004-0000-0200-000036000000}"/>
    <hyperlink ref="H63" r:id="rId56" xr:uid="{00000000-0004-0000-0200-000037000000}"/>
    <hyperlink ref="H64" r:id="rId57" xr:uid="{00000000-0004-0000-0200-000038000000}"/>
    <hyperlink ref="H65" r:id="rId58" xr:uid="{00000000-0004-0000-0200-000039000000}"/>
    <hyperlink ref="H66" r:id="rId59" xr:uid="{00000000-0004-0000-0200-00003A000000}"/>
    <hyperlink ref="H67" r:id="rId60" xr:uid="{00000000-0004-0000-0200-00003B000000}"/>
    <hyperlink ref="H68" r:id="rId61" xr:uid="{00000000-0004-0000-0200-00003C000000}"/>
    <hyperlink ref="H69" r:id="rId62" xr:uid="{00000000-0004-0000-0200-00003D000000}"/>
    <hyperlink ref="H70" r:id="rId63" xr:uid="{00000000-0004-0000-0200-00003E000000}"/>
    <hyperlink ref="H71" r:id="rId64" xr:uid="{00000000-0004-0000-0200-00003F000000}"/>
    <hyperlink ref="H72" r:id="rId65" xr:uid="{00000000-0004-0000-0200-000040000000}"/>
    <hyperlink ref="H73" r:id="rId66" xr:uid="{00000000-0004-0000-0200-000041000000}"/>
    <hyperlink ref="H74" r:id="rId67" xr:uid="{00000000-0004-0000-0200-000042000000}"/>
    <hyperlink ref="H75" r:id="rId68" xr:uid="{00000000-0004-0000-0200-000043000000}"/>
    <hyperlink ref="H76" r:id="rId69" xr:uid="{00000000-0004-0000-0200-000044000000}"/>
    <hyperlink ref="H77" r:id="rId70" xr:uid="{00000000-0004-0000-0200-000045000000}"/>
    <hyperlink ref="H78" r:id="rId71" xr:uid="{00000000-0004-0000-0200-000046000000}"/>
    <hyperlink ref="H79" r:id="rId72" xr:uid="{00000000-0004-0000-0200-000047000000}"/>
    <hyperlink ref="H80" r:id="rId73" xr:uid="{00000000-0004-0000-0200-000048000000}"/>
    <hyperlink ref="H81" r:id="rId74" xr:uid="{00000000-0004-0000-0200-000049000000}"/>
    <hyperlink ref="H82" r:id="rId75" xr:uid="{00000000-0004-0000-0200-00004A000000}"/>
    <hyperlink ref="H83" r:id="rId76" xr:uid="{00000000-0004-0000-0200-00004B000000}"/>
    <hyperlink ref="H84" r:id="rId77" xr:uid="{00000000-0004-0000-0200-00004C000000}"/>
    <hyperlink ref="H85" r:id="rId78" xr:uid="{00000000-0004-0000-0200-00004D000000}"/>
    <hyperlink ref="H86" r:id="rId79" xr:uid="{00000000-0004-0000-0200-00004E000000}"/>
    <hyperlink ref="H87" r:id="rId80" xr:uid="{00000000-0004-0000-0200-00004F000000}"/>
    <hyperlink ref="H88" r:id="rId81" xr:uid="{00000000-0004-0000-0200-000050000000}"/>
    <hyperlink ref="H89" r:id="rId82" xr:uid="{00000000-0004-0000-0200-000051000000}"/>
    <hyperlink ref="H92" r:id="rId83" xr:uid="{00000000-0004-0000-0200-000052000000}"/>
    <hyperlink ref="H93" r:id="rId84" xr:uid="{00000000-0004-0000-0200-000053000000}"/>
    <hyperlink ref="H94" r:id="rId85" xr:uid="{00000000-0004-0000-0200-000054000000}"/>
    <hyperlink ref="H95" r:id="rId86" xr:uid="{00000000-0004-0000-0200-000055000000}"/>
    <hyperlink ref="H96" r:id="rId87" xr:uid="{00000000-0004-0000-0200-000056000000}"/>
    <hyperlink ref="H97" r:id="rId88" xr:uid="{00000000-0004-0000-0200-000057000000}"/>
    <hyperlink ref="H98" r:id="rId89" xr:uid="{00000000-0004-0000-0200-000058000000}"/>
    <hyperlink ref="H99" r:id="rId90" xr:uid="{00000000-0004-0000-0200-000059000000}"/>
    <hyperlink ref="H100" r:id="rId91" xr:uid="{00000000-0004-0000-0200-00005A000000}"/>
    <hyperlink ref="H101" r:id="rId92" xr:uid="{00000000-0004-0000-0200-00005B000000}"/>
    <hyperlink ref="H102" r:id="rId93" xr:uid="{00000000-0004-0000-0200-00005C000000}"/>
    <hyperlink ref="H103" r:id="rId94" xr:uid="{00000000-0004-0000-0200-00005D000000}"/>
    <hyperlink ref="H104" r:id="rId95" xr:uid="{00000000-0004-0000-0200-00005E000000}"/>
    <hyperlink ref="H105" r:id="rId96" xr:uid="{00000000-0004-0000-0200-00005F000000}"/>
    <hyperlink ref="H106" r:id="rId97" xr:uid="{00000000-0004-0000-0200-000060000000}"/>
    <hyperlink ref="H107" r:id="rId98" xr:uid="{00000000-0004-0000-0200-000061000000}"/>
    <hyperlink ref="H108" r:id="rId99" xr:uid="{00000000-0004-0000-0200-000062000000}"/>
    <hyperlink ref="H109" r:id="rId100" xr:uid="{00000000-0004-0000-0200-000063000000}"/>
    <hyperlink ref="H110" r:id="rId101" xr:uid="{00000000-0004-0000-0200-000064000000}"/>
    <hyperlink ref="H111" r:id="rId102" xr:uid="{00000000-0004-0000-0200-000065000000}"/>
    <hyperlink ref="H112" r:id="rId103" xr:uid="{00000000-0004-0000-0200-000066000000}"/>
    <hyperlink ref="H113" r:id="rId104" xr:uid="{00000000-0004-0000-0200-000067000000}"/>
    <hyperlink ref="H114" r:id="rId105" xr:uid="{00000000-0004-0000-0200-000068000000}"/>
    <hyperlink ref="H115" r:id="rId106" xr:uid="{00000000-0004-0000-0200-000069000000}"/>
    <hyperlink ref="H116" r:id="rId107" xr:uid="{00000000-0004-0000-0200-00006A000000}"/>
    <hyperlink ref="H119" r:id="rId108" xr:uid="{00000000-0004-0000-0200-00006B000000}"/>
    <hyperlink ref="H120" r:id="rId109" xr:uid="{00000000-0004-0000-0200-00006C000000}"/>
    <hyperlink ref="H121" r:id="rId110" xr:uid="{00000000-0004-0000-0200-00006D000000}"/>
    <hyperlink ref="H122" r:id="rId111" xr:uid="{00000000-0004-0000-0200-00006E000000}"/>
    <hyperlink ref="H123" r:id="rId112" xr:uid="{00000000-0004-0000-0200-00006F000000}"/>
    <hyperlink ref="H124" r:id="rId113" xr:uid="{00000000-0004-0000-0200-000070000000}"/>
    <hyperlink ref="H125" r:id="rId114" xr:uid="{00000000-0004-0000-0200-000071000000}"/>
    <hyperlink ref="H126" r:id="rId115" xr:uid="{00000000-0004-0000-0200-000072000000}"/>
    <hyperlink ref="H127" r:id="rId116" xr:uid="{00000000-0004-0000-0200-000073000000}"/>
    <hyperlink ref="H128" r:id="rId117" xr:uid="{00000000-0004-0000-0200-000074000000}"/>
    <hyperlink ref="H129" r:id="rId118" xr:uid="{00000000-0004-0000-0200-000075000000}"/>
    <hyperlink ref="H130" r:id="rId119" xr:uid="{00000000-0004-0000-0200-000076000000}"/>
    <hyperlink ref="H131" r:id="rId120" xr:uid="{00000000-0004-0000-0200-000077000000}"/>
    <hyperlink ref="H132" r:id="rId121" xr:uid="{00000000-0004-0000-0200-000078000000}"/>
    <hyperlink ref="H133" r:id="rId122" xr:uid="{00000000-0004-0000-0200-000079000000}"/>
    <hyperlink ref="H134" r:id="rId123" xr:uid="{00000000-0004-0000-0200-00007A000000}"/>
    <hyperlink ref="H135" r:id="rId124" xr:uid="{00000000-0004-0000-0200-00007B000000}"/>
    <hyperlink ref="H136" r:id="rId125" xr:uid="{00000000-0004-0000-0200-00007C000000}"/>
    <hyperlink ref="H137" r:id="rId126" xr:uid="{00000000-0004-0000-0200-00007D000000}"/>
    <hyperlink ref="H138" r:id="rId127" xr:uid="{00000000-0004-0000-0200-00007E000000}"/>
    <hyperlink ref="H141" r:id="rId128" xr:uid="{00000000-0004-0000-0200-00007F000000}"/>
    <hyperlink ref="H142" r:id="rId129" xr:uid="{00000000-0004-0000-0200-000080000000}"/>
    <hyperlink ref="H143" r:id="rId130" xr:uid="{00000000-0004-0000-0200-000081000000}"/>
    <hyperlink ref="H144" r:id="rId131" xr:uid="{00000000-0004-0000-0200-000082000000}"/>
    <hyperlink ref="H145" r:id="rId132" xr:uid="{00000000-0004-0000-0200-000083000000}"/>
    <hyperlink ref="H146" r:id="rId133" xr:uid="{00000000-0004-0000-0200-000084000000}"/>
    <hyperlink ref="H147" r:id="rId134" xr:uid="{00000000-0004-0000-0200-000085000000}"/>
    <hyperlink ref="H148" r:id="rId135" xr:uid="{00000000-0004-0000-0200-000086000000}"/>
    <hyperlink ref="H149" r:id="rId136" xr:uid="{00000000-0004-0000-0200-000087000000}"/>
    <hyperlink ref="H150" r:id="rId137" xr:uid="{00000000-0004-0000-0200-000088000000}"/>
    <hyperlink ref="H151" r:id="rId138" xr:uid="{00000000-0004-0000-0200-000089000000}"/>
    <hyperlink ref="H152" r:id="rId139" xr:uid="{00000000-0004-0000-0200-00008A000000}"/>
    <hyperlink ref="H153" r:id="rId140" xr:uid="{00000000-0004-0000-0200-00008B000000}"/>
    <hyperlink ref="H154" r:id="rId141" xr:uid="{00000000-0004-0000-0200-00008C000000}"/>
    <hyperlink ref="H155" r:id="rId142" xr:uid="{00000000-0004-0000-0200-00008D000000}"/>
    <hyperlink ref="H156" r:id="rId143" xr:uid="{00000000-0004-0000-0200-00008E000000}"/>
    <hyperlink ref="H157" r:id="rId144" xr:uid="{00000000-0004-0000-0200-00008F000000}"/>
    <hyperlink ref="H158" r:id="rId145" xr:uid="{00000000-0004-0000-0200-000090000000}"/>
    <hyperlink ref="H161" r:id="rId146" xr:uid="{00000000-0004-0000-0200-000091000000}"/>
    <hyperlink ref="H162" r:id="rId147" xr:uid="{00000000-0004-0000-0200-000092000000}"/>
    <hyperlink ref="H163" r:id="rId148" xr:uid="{00000000-0004-0000-0200-000093000000}"/>
    <hyperlink ref="H164" r:id="rId149" xr:uid="{00000000-0004-0000-0200-000094000000}"/>
    <hyperlink ref="H165" r:id="rId150" xr:uid="{00000000-0004-0000-0200-000095000000}"/>
    <hyperlink ref="H166" r:id="rId151" xr:uid="{00000000-0004-0000-0200-000096000000}"/>
    <hyperlink ref="H167" r:id="rId152" xr:uid="{00000000-0004-0000-0200-000097000000}"/>
    <hyperlink ref="H168" r:id="rId153" xr:uid="{00000000-0004-0000-0200-000098000000}"/>
    <hyperlink ref="H169" r:id="rId154" xr:uid="{00000000-0004-0000-0200-000099000000}"/>
    <hyperlink ref="H170" r:id="rId155" xr:uid="{00000000-0004-0000-0200-00009A000000}"/>
    <hyperlink ref="H171" r:id="rId156" xr:uid="{00000000-0004-0000-0200-00009B000000}"/>
    <hyperlink ref="H172" r:id="rId157" xr:uid="{00000000-0004-0000-0200-00009C000000}"/>
    <hyperlink ref="H173" r:id="rId158" xr:uid="{00000000-0004-0000-0200-00009D000000}"/>
    <hyperlink ref="H174" r:id="rId159" xr:uid="{00000000-0004-0000-0200-00009E000000}"/>
    <hyperlink ref="H175" r:id="rId160" xr:uid="{00000000-0004-0000-0200-00009F000000}"/>
    <hyperlink ref="H176" r:id="rId161" xr:uid="{00000000-0004-0000-0200-0000A0000000}"/>
    <hyperlink ref="H177" r:id="rId162" xr:uid="{00000000-0004-0000-0200-0000A1000000}"/>
    <hyperlink ref="H178" r:id="rId163" xr:uid="{00000000-0004-0000-0200-0000A2000000}"/>
    <hyperlink ref="H181" r:id="rId164" xr:uid="{00000000-0004-0000-0200-0000A3000000}"/>
    <hyperlink ref="H182" r:id="rId165" xr:uid="{00000000-0004-0000-0200-0000A4000000}"/>
    <hyperlink ref="H183" r:id="rId166" xr:uid="{00000000-0004-0000-0200-0000A5000000}"/>
    <hyperlink ref="H184" r:id="rId167" xr:uid="{00000000-0004-0000-0200-0000A6000000}"/>
    <hyperlink ref="H185" r:id="rId168" xr:uid="{00000000-0004-0000-0200-0000A7000000}"/>
    <hyperlink ref="H186" r:id="rId169" xr:uid="{00000000-0004-0000-0200-0000A8000000}"/>
    <hyperlink ref="H187" r:id="rId170" xr:uid="{00000000-0004-0000-0200-0000A9000000}"/>
    <hyperlink ref="H188" r:id="rId171" xr:uid="{00000000-0004-0000-0200-0000AA000000}"/>
    <hyperlink ref="H189" r:id="rId172" xr:uid="{00000000-0004-0000-0200-0000AB000000}"/>
    <hyperlink ref="H190" r:id="rId173" xr:uid="{00000000-0004-0000-0200-0000AC000000}"/>
    <hyperlink ref="H191" r:id="rId174" xr:uid="{00000000-0004-0000-0200-0000AD000000}"/>
    <hyperlink ref="H192" r:id="rId175" xr:uid="{00000000-0004-0000-0200-0000AE000000}"/>
    <hyperlink ref="H193" r:id="rId176" xr:uid="{00000000-0004-0000-0200-0000AF000000}"/>
    <hyperlink ref="H194" r:id="rId177" xr:uid="{00000000-0004-0000-0200-0000B0000000}"/>
    <hyperlink ref="H195" r:id="rId178" xr:uid="{00000000-0004-0000-0200-0000B1000000}"/>
    <hyperlink ref="H198" r:id="rId179" xr:uid="{00000000-0004-0000-0200-0000B2000000}"/>
    <hyperlink ref="H199" r:id="rId180" xr:uid="{00000000-0004-0000-0200-0000B3000000}"/>
    <hyperlink ref="H200" r:id="rId181" xr:uid="{00000000-0004-0000-0200-0000B4000000}"/>
    <hyperlink ref="H201" r:id="rId182" xr:uid="{00000000-0004-0000-0200-0000B5000000}"/>
    <hyperlink ref="H202" r:id="rId183" xr:uid="{00000000-0004-0000-0200-0000B6000000}"/>
    <hyperlink ref="H203" r:id="rId184" xr:uid="{00000000-0004-0000-0200-0000B7000000}"/>
    <hyperlink ref="H204" r:id="rId185" xr:uid="{00000000-0004-0000-0200-0000B8000000}"/>
    <hyperlink ref="H205" r:id="rId186" xr:uid="{00000000-0004-0000-0200-0000B9000000}"/>
    <hyperlink ref="H206" r:id="rId187" xr:uid="{00000000-0004-0000-0200-0000BA000000}"/>
    <hyperlink ref="H207" r:id="rId188" xr:uid="{00000000-0004-0000-0200-0000BB000000}"/>
    <hyperlink ref="H208" r:id="rId189" xr:uid="{00000000-0004-0000-0200-0000BC000000}"/>
    <hyperlink ref="H209" r:id="rId190" xr:uid="{00000000-0004-0000-0200-0000BD000000}"/>
    <hyperlink ref="H210" r:id="rId191" xr:uid="{00000000-0004-0000-0200-0000BE000000}"/>
    <hyperlink ref="H211" r:id="rId192" xr:uid="{00000000-0004-0000-0200-0000BF000000}"/>
    <hyperlink ref="H214" r:id="rId193" xr:uid="{00000000-0004-0000-0200-0000C0000000}"/>
    <hyperlink ref="H215" r:id="rId194" xr:uid="{00000000-0004-0000-0200-0000C1000000}"/>
    <hyperlink ref="H216" r:id="rId195" xr:uid="{00000000-0004-0000-0200-0000C2000000}"/>
    <hyperlink ref="H217" r:id="rId196" xr:uid="{00000000-0004-0000-0200-0000C3000000}"/>
    <hyperlink ref="H218" r:id="rId197" xr:uid="{00000000-0004-0000-0200-0000C4000000}"/>
    <hyperlink ref="H219" r:id="rId198" xr:uid="{00000000-0004-0000-0200-0000C5000000}"/>
    <hyperlink ref="H220" r:id="rId199" xr:uid="{00000000-0004-0000-0200-0000C6000000}"/>
    <hyperlink ref="H221" r:id="rId200" xr:uid="{00000000-0004-0000-0200-0000C7000000}"/>
    <hyperlink ref="H222" r:id="rId201" xr:uid="{00000000-0004-0000-0200-0000C8000000}"/>
    <hyperlink ref="H223" r:id="rId202" xr:uid="{00000000-0004-0000-0200-0000C9000000}"/>
    <hyperlink ref="H224" r:id="rId203" xr:uid="{00000000-0004-0000-0200-0000CA000000}"/>
    <hyperlink ref="H225" r:id="rId204" xr:uid="{00000000-0004-0000-0200-0000CB000000}"/>
    <hyperlink ref="H226" r:id="rId205" xr:uid="{00000000-0004-0000-0200-0000CC000000}"/>
    <hyperlink ref="H229" r:id="rId206" xr:uid="{00000000-0004-0000-0200-0000CD000000}"/>
    <hyperlink ref="H230" r:id="rId207" xr:uid="{00000000-0004-0000-0200-0000CE000000}"/>
    <hyperlink ref="H231" r:id="rId208" xr:uid="{00000000-0004-0000-0200-0000CF000000}"/>
    <hyperlink ref="H232" r:id="rId209" xr:uid="{00000000-0004-0000-0200-0000D0000000}"/>
    <hyperlink ref="H233" r:id="rId210" xr:uid="{00000000-0004-0000-0200-0000D1000000}"/>
    <hyperlink ref="H234" r:id="rId211" xr:uid="{00000000-0004-0000-0200-0000D2000000}"/>
    <hyperlink ref="H235" r:id="rId212" xr:uid="{00000000-0004-0000-0200-0000D3000000}"/>
    <hyperlink ref="H236" r:id="rId213" xr:uid="{00000000-0004-0000-0200-0000D4000000}"/>
    <hyperlink ref="H237" r:id="rId214" xr:uid="{00000000-0004-0000-0200-0000D5000000}"/>
    <hyperlink ref="H238" r:id="rId215" xr:uid="{00000000-0004-0000-0200-0000D6000000}"/>
    <hyperlink ref="H239" r:id="rId216" xr:uid="{00000000-0004-0000-0200-0000D7000000}"/>
    <hyperlink ref="H240" r:id="rId217" xr:uid="{00000000-0004-0000-0200-0000D8000000}"/>
    <hyperlink ref="H243" r:id="rId218" xr:uid="{00000000-0004-0000-0200-0000D9000000}"/>
    <hyperlink ref="H244" r:id="rId219" xr:uid="{00000000-0004-0000-0200-0000DA000000}"/>
    <hyperlink ref="H245" r:id="rId220" xr:uid="{00000000-0004-0000-0200-0000DB000000}"/>
    <hyperlink ref="H246" r:id="rId221" xr:uid="{00000000-0004-0000-0200-0000DC000000}"/>
    <hyperlink ref="H247" r:id="rId222" xr:uid="{00000000-0004-0000-0200-0000DD000000}"/>
    <hyperlink ref="H248" r:id="rId223" xr:uid="{00000000-0004-0000-0200-0000DE000000}"/>
    <hyperlink ref="H249" r:id="rId224" xr:uid="{00000000-0004-0000-0200-0000DF000000}"/>
    <hyperlink ref="H250" r:id="rId225" xr:uid="{00000000-0004-0000-0200-0000E0000000}"/>
    <hyperlink ref="H251" r:id="rId226" xr:uid="{00000000-0004-0000-0200-0000E1000000}"/>
    <hyperlink ref="H252" r:id="rId227" xr:uid="{00000000-0004-0000-0200-0000E2000000}"/>
    <hyperlink ref="H253" r:id="rId228" xr:uid="{00000000-0004-0000-0200-0000E3000000}"/>
    <hyperlink ref="H256" r:id="rId229" xr:uid="{00000000-0004-0000-0200-0000E4000000}"/>
    <hyperlink ref="H257" r:id="rId230" xr:uid="{00000000-0004-0000-0200-0000E5000000}"/>
    <hyperlink ref="H258" r:id="rId231" xr:uid="{00000000-0004-0000-0200-0000E6000000}"/>
    <hyperlink ref="H259" r:id="rId232" xr:uid="{00000000-0004-0000-0200-0000E7000000}"/>
    <hyperlink ref="H260" r:id="rId233" xr:uid="{00000000-0004-0000-0200-0000E8000000}"/>
    <hyperlink ref="H261" r:id="rId234" xr:uid="{00000000-0004-0000-0200-0000E9000000}"/>
    <hyperlink ref="H262" r:id="rId235" xr:uid="{00000000-0004-0000-0200-0000EA000000}"/>
    <hyperlink ref="H263" r:id="rId236" xr:uid="{00000000-0004-0000-0200-0000EB000000}"/>
    <hyperlink ref="H264" r:id="rId237" xr:uid="{00000000-0004-0000-0200-0000EC000000}"/>
    <hyperlink ref="H265" r:id="rId238" xr:uid="{00000000-0004-0000-0200-0000ED000000}"/>
    <hyperlink ref="H266" r:id="rId239" xr:uid="{00000000-0004-0000-0200-0000EE000000}"/>
    <hyperlink ref="H269" r:id="rId240" xr:uid="{00000000-0004-0000-0200-0000EF000000}"/>
    <hyperlink ref="H270" r:id="rId241" xr:uid="{00000000-0004-0000-0200-0000F0000000}"/>
    <hyperlink ref="H271" r:id="rId242" xr:uid="{00000000-0004-0000-0200-0000F1000000}"/>
    <hyperlink ref="H272" r:id="rId243" xr:uid="{00000000-0004-0000-0200-0000F2000000}"/>
    <hyperlink ref="H273" r:id="rId244" xr:uid="{00000000-0004-0000-0200-0000F3000000}"/>
    <hyperlink ref="H274" r:id="rId245" xr:uid="{00000000-0004-0000-0200-0000F4000000}"/>
    <hyperlink ref="H275" r:id="rId246" xr:uid="{00000000-0004-0000-0200-0000F5000000}"/>
    <hyperlink ref="H276" r:id="rId247" xr:uid="{00000000-0004-0000-0200-0000F6000000}"/>
    <hyperlink ref="H277" r:id="rId248" xr:uid="{00000000-0004-0000-0200-0000F7000000}"/>
    <hyperlink ref="H278" r:id="rId249" xr:uid="{00000000-0004-0000-0200-0000F8000000}"/>
    <hyperlink ref="H281" r:id="rId250" xr:uid="{00000000-0004-0000-0200-0000F9000000}"/>
    <hyperlink ref="H282" r:id="rId251" xr:uid="{00000000-0004-0000-0200-0000FA000000}"/>
    <hyperlink ref="H283" r:id="rId252" xr:uid="{00000000-0004-0000-0200-0000FB000000}"/>
    <hyperlink ref="H284" r:id="rId253" xr:uid="{00000000-0004-0000-0200-0000FC000000}"/>
    <hyperlink ref="H285" r:id="rId254" xr:uid="{00000000-0004-0000-0200-0000FD000000}"/>
    <hyperlink ref="H286" r:id="rId255" xr:uid="{00000000-0004-0000-0200-0000FE000000}"/>
    <hyperlink ref="H287" r:id="rId256" xr:uid="{00000000-0004-0000-0200-0000FF000000}"/>
    <hyperlink ref="H288" r:id="rId257" xr:uid="{00000000-0004-0000-0200-000000010000}"/>
    <hyperlink ref="H289" r:id="rId258" xr:uid="{00000000-0004-0000-0200-000001010000}"/>
    <hyperlink ref="H292" r:id="rId259" xr:uid="{00000000-0004-0000-0200-000002010000}"/>
    <hyperlink ref="H293" r:id="rId260" xr:uid="{00000000-0004-0000-0200-000003010000}"/>
    <hyperlink ref="H294" r:id="rId261" xr:uid="{00000000-0004-0000-0200-000004010000}"/>
    <hyperlink ref="H295" r:id="rId262" xr:uid="{00000000-0004-0000-0200-000005010000}"/>
    <hyperlink ref="H296" r:id="rId263" xr:uid="{00000000-0004-0000-0200-000006010000}"/>
    <hyperlink ref="H297" r:id="rId264" xr:uid="{00000000-0004-0000-0200-000007010000}"/>
    <hyperlink ref="H298" r:id="rId265" xr:uid="{00000000-0004-0000-0200-000008010000}"/>
    <hyperlink ref="H299" r:id="rId266" xr:uid="{00000000-0004-0000-0200-000009010000}"/>
    <hyperlink ref="H300" r:id="rId267" xr:uid="{00000000-0004-0000-0200-00000A010000}"/>
    <hyperlink ref="H303" r:id="rId268" xr:uid="{00000000-0004-0000-0200-00000B010000}"/>
    <hyperlink ref="H304" r:id="rId269" xr:uid="{00000000-0004-0000-0200-00000C010000}"/>
    <hyperlink ref="H305" r:id="rId270" xr:uid="{00000000-0004-0000-0200-00000D010000}"/>
    <hyperlink ref="H306" r:id="rId271" xr:uid="{00000000-0004-0000-0200-00000E010000}"/>
    <hyperlink ref="H307" r:id="rId272" xr:uid="{00000000-0004-0000-0200-00000F010000}"/>
    <hyperlink ref="H308" r:id="rId273" xr:uid="{00000000-0004-0000-0200-000010010000}"/>
    <hyperlink ref="H309" r:id="rId274" xr:uid="{00000000-0004-0000-0200-000011010000}"/>
    <hyperlink ref="H310" r:id="rId275" xr:uid="{00000000-0004-0000-0200-000012010000}"/>
    <hyperlink ref="H311" r:id="rId276" xr:uid="{00000000-0004-0000-0200-000013010000}"/>
    <hyperlink ref="H314" r:id="rId277" xr:uid="{00000000-0004-0000-0200-000014010000}"/>
    <hyperlink ref="H315" r:id="rId278" xr:uid="{00000000-0004-0000-0200-000015010000}"/>
    <hyperlink ref="H316" r:id="rId279" xr:uid="{00000000-0004-0000-0200-000016010000}"/>
    <hyperlink ref="H317" r:id="rId280" xr:uid="{00000000-0004-0000-0200-000017010000}"/>
    <hyperlink ref="H318" r:id="rId281" xr:uid="{00000000-0004-0000-0200-000018010000}"/>
    <hyperlink ref="H319" r:id="rId282" xr:uid="{00000000-0004-0000-0200-000019010000}"/>
    <hyperlink ref="H320" r:id="rId283" xr:uid="{00000000-0004-0000-0200-00001A010000}"/>
    <hyperlink ref="H321" r:id="rId284" xr:uid="{00000000-0004-0000-0200-00001B010000}"/>
    <hyperlink ref="H322" r:id="rId285" xr:uid="{00000000-0004-0000-0200-00001C010000}"/>
    <hyperlink ref="H325" r:id="rId286" xr:uid="{00000000-0004-0000-0200-00001D010000}"/>
    <hyperlink ref="H326" r:id="rId287" xr:uid="{00000000-0004-0000-0200-00001E010000}"/>
    <hyperlink ref="H327" r:id="rId288" xr:uid="{00000000-0004-0000-0200-00001F010000}"/>
    <hyperlink ref="H328" r:id="rId289" xr:uid="{00000000-0004-0000-0200-000020010000}"/>
    <hyperlink ref="H329" r:id="rId290" xr:uid="{00000000-0004-0000-0200-000021010000}"/>
    <hyperlink ref="H330" r:id="rId291" xr:uid="{00000000-0004-0000-0200-000022010000}"/>
    <hyperlink ref="H331" r:id="rId292" xr:uid="{00000000-0004-0000-0200-000023010000}"/>
    <hyperlink ref="H332" r:id="rId293" xr:uid="{00000000-0004-0000-0200-000024010000}"/>
    <hyperlink ref="H335" r:id="rId294" xr:uid="{00000000-0004-0000-0200-000025010000}"/>
    <hyperlink ref="H336" r:id="rId295" xr:uid="{00000000-0004-0000-0200-000026010000}"/>
    <hyperlink ref="H337" r:id="rId296" xr:uid="{00000000-0004-0000-0200-000027010000}"/>
    <hyperlink ref="H338" r:id="rId297" xr:uid="{00000000-0004-0000-0200-000028010000}"/>
    <hyperlink ref="H339" r:id="rId298" xr:uid="{00000000-0004-0000-0200-000029010000}"/>
    <hyperlink ref="H340" r:id="rId299" xr:uid="{00000000-0004-0000-0200-00002A010000}"/>
    <hyperlink ref="H341" r:id="rId300" xr:uid="{00000000-0004-0000-0200-00002B010000}"/>
    <hyperlink ref="H342" r:id="rId301" xr:uid="{00000000-0004-0000-0200-00002C010000}"/>
    <hyperlink ref="H345" r:id="rId302" xr:uid="{00000000-0004-0000-0200-00002D010000}"/>
    <hyperlink ref="H346" r:id="rId303" xr:uid="{00000000-0004-0000-0200-00002E010000}"/>
    <hyperlink ref="H347" r:id="rId304" xr:uid="{00000000-0004-0000-0200-00002F010000}"/>
    <hyperlink ref="H348" r:id="rId305" xr:uid="{00000000-0004-0000-0200-000030010000}"/>
    <hyperlink ref="H349" r:id="rId306" xr:uid="{00000000-0004-0000-0200-000031010000}"/>
    <hyperlink ref="H350" r:id="rId307" xr:uid="{00000000-0004-0000-0200-000032010000}"/>
    <hyperlink ref="H351" r:id="rId308" xr:uid="{00000000-0004-0000-0200-000033010000}"/>
    <hyperlink ref="H352" r:id="rId309" xr:uid="{00000000-0004-0000-0200-000034010000}"/>
    <hyperlink ref="H355" r:id="rId310" xr:uid="{00000000-0004-0000-0200-000035010000}"/>
    <hyperlink ref="H356" r:id="rId311" xr:uid="{00000000-0004-0000-0200-000036010000}"/>
    <hyperlink ref="H357" r:id="rId312" xr:uid="{00000000-0004-0000-0200-000037010000}"/>
    <hyperlink ref="H358" r:id="rId313" xr:uid="{00000000-0004-0000-0200-000038010000}"/>
    <hyperlink ref="H359" r:id="rId314" xr:uid="{00000000-0004-0000-0200-000039010000}"/>
    <hyperlink ref="H360" r:id="rId315" xr:uid="{00000000-0004-0000-0200-00003A010000}"/>
    <hyperlink ref="H361" r:id="rId316" xr:uid="{00000000-0004-0000-0200-00003B010000}"/>
    <hyperlink ref="H362" r:id="rId317" xr:uid="{00000000-0004-0000-0200-00003C010000}"/>
    <hyperlink ref="H365" r:id="rId318" xr:uid="{00000000-0004-0000-0200-00003D010000}"/>
    <hyperlink ref="H366" r:id="rId319" xr:uid="{00000000-0004-0000-0200-00003E010000}"/>
    <hyperlink ref="H367" r:id="rId320" xr:uid="{00000000-0004-0000-0200-00003F010000}"/>
    <hyperlink ref="H368" r:id="rId321" xr:uid="{00000000-0004-0000-0200-000040010000}"/>
    <hyperlink ref="H369" r:id="rId322" xr:uid="{00000000-0004-0000-0200-000041010000}"/>
    <hyperlink ref="H370" r:id="rId323" xr:uid="{00000000-0004-0000-0200-000042010000}"/>
    <hyperlink ref="H371" r:id="rId324" xr:uid="{00000000-0004-0000-0200-000043010000}"/>
    <hyperlink ref="H372" r:id="rId325" xr:uid="{00000000-0004-0000-0200-000044010000}"/>
    <hyperlink ref="H375" r:id="rId326" xr:uid="{00000000-0004-0000-0200-000045010000}"/>
    <hyperlink ref="H376" r:id="rId327" xr:uid="{00000000-0004-0000-0200-000046010000}"/>
    <hyperlink ref="H377" r:id="rId328" xr:uid="{00000000-0004-0000-0200-000047010000}"/>
    <hyperlink ref="H378" r:id="rId329" xr:uid="{00000000-0004-0000-0200-000048010000}"/>
    <hyperlink ref="H379" r:id="rId330" xr:uid="{00000000-0004-0000-0200-000049010000}"/>
    <hyperlink ref="H380" r:id="rId331" xr:uid="{00000000-0004-0000-0200-00004A010000}"/>
    <hyperlink ref="H381" r:id="rId332" xr:uid="{00000000-0004-0000-0200-00004B010000}"/>
    <hyperlink ref="H384" r:id="rId333" xr:uid="{00000000-0004-0000-0200-00004C010000}"/>
    <hyperlink ref="H385" r:id="rId334" xr:uid="{00000000-0004-0000-0200-00004D010000}"/>
    <hyperlink ref="H386" r:id="rId335" xr:uid="{00000000-0004-0000-0200-00004E010000}"/>
    <hyperlink ref="H387" r:id="rId336" xr:uid="{00000000-0004-0000-0200-00004F010000}"/>
    <hyperlink ref="H388" r:id="rId337" xr:uid="{00000000-0004-0000-0200-000050010000}"/>
    <hyperlink ref="H389" r:id="rId338" xr:uid="{00000000-0004-0000-0200-000051010000}"/>
    <hyperlink ref="H392" r:id="rId339" xr:uid="{00000000-0004-0000-0200-000052010000}"/>
    <hyperlink ref="H393" r:id="rId340" xr:uid="{00000000-0004-0000-0200-000053010000}"/>
    <hyperlink ref="H394" r:id="rId341" xr:uid="{00000000-0004-0000-0200-000054010000}"/>
    <hyperlink ref="H395" r:id="rId342" xr:uid="{00000000-0004-0000-0200-000055010000}"/>
    <hyperlink ref="H396" r:id="rId343" xr:uid="{00000000-0004-0000-0200-000056010000}"/>
    <hyperlink ref="H397" r:id="rId344" xr:uid="{00000000-0004-0000-0200-000057010000}"/>
    <hyperlink ref="H400" r:id="rId345" xr:uid="{00000000-0004-0000-0200-000058010000}"/>
    <hyperlink ref="H401" r:id="rId346" xr:uid="{00000000-0004-0000-0200-000059010000}"/>
    <hyperlink ref="H402" r:id="rId347" xr:uid="{00000000-0004-0000-0200-00005A010000}"/>
    <hyperlink ref="H403" r:id="rId348" xr:uid="{00000000-0004-0000-0200-00005B010000}"/>
    <hyperlink ref="H404" r:id="rId349" xr:uid="{00000000-0004-0000-0200-00005C010000}"/>
    <hyperlink ref="H405" r:id="rId350" xr:uid="{00000000-0004-0000-0200-00005D010000}"/>
    <hyperlink ref="H408" r:id="rId351" xr:uid="{00000000-0004-0000-0200-00005E010000}"/>
    <hyperlink ref="H409" r:id="rId352" xr:uid="{00000000-0004-0000-0200-00005F010000}"/>
    <hyperlink ref="H410" r:id="rId353" xr:uid="{00000000-0004-0000-0200-000060010000}"/>
    <hyperlink ref="H411" r:id="rId354" xr:uid="{00000000-0004-0000-0200-000061010000}"/>
    <hyperlink ref="H412" r:id="rId355" xr:uid="{00000000-0004-0000-0200-000062010000}"/>
    <hyperlink ref="H413" r:id="rId356" xr:uid="{00000000-0004-0000-0200-000063010000}"/>
    <hyperlink ref="H416" r:id="rId357" xr:uid="{00000000-0004-0000-0200-000064010000}"/>
    <hyperlink ref="H417" r:id="rId358" xr:uid="{00000000-0004-0000-0200-000065010000}"/>
    <hyperlink ref="H418" r:id="rId359" xr:uid="{00000000-0004-0000-0200-000066010000}"/>
    <hyperlink ref="H419" r:id="rId360" xr:uid="{00000000-0004-0000-0200-000067010000}"/>
    <hyperlink ref="H420" r:id="rId361" xr:uid="{00000000-0004-0000-0200-000068010000}"/>
    <hyperlink ref="H421" r:id="rId362" xr:uid="{00000000-0004-0000-0200-000069010000}"/>
    <hyperlink ref="H424" r:id="rId363" xr:uid="{00000000-0004-0000-0200-00006A010000}"/>
    <hyperlink ref="H425" r:id="rId364" xr:uid="{00000000-0004-0000-0200-00006B010000}"/>
    <hyperlink ref="H426" r:id="rId365" xr:uid="{00000000-0004-0000-0200-00006C010000}"/>
    <hyperlink ref="H427" r:id="rId366" xr:uid="{00000000-0004-0000-0200-00006D010000}"/>
    <hyperlink ref="H428" r:id="rId367" xr:uid="{00000000-0004-0000-0200-00006E010000}"/>
    <hyperlink ref="H429" r:id="rId368" xr:uid="{00000000-0004-0000-0200-00006F010000}"/>
    <hyperlink ref="H432" r:id="rId369" xr:uid="{00000000-0004-0000-0200-000070010000}"/>
    <hyperlink ref="H433" r:id="rId370" xr:uid="{00000000-0004-0000-0200-000071010000}"/>
    <hyperlink ref="H434" r:id="rId371" xr:uid="{00000000-0004-0000-0200-000072010000}"/>
    <hyperlink ref="H435" r:id="rId372" xr:uid="{00000000-0004-0000-0200-000073010000}"/>
    <hyperlink ref="H436" r:id="rId373" xr:uid="{00000000-0004-0000-0200-000074010000}"/>
    <hyperlink ref="H437" r:id="rId374" xr:uid="{00000000-0004-0000-0200-00007501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40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7"/>
  <cols>
    <col min="1" max="1" width="24" customWidth="1"/>
    <col min="2" max="2" width="50" customWidth="1"/>
    <col min="3" max="3" width="25" customWidth="1"/>
    <col min="4" max="4" width="16" customWidth="1"/>
    <col min="5" max="5" width="14" customWidth="1"/>
    <col min="6" max="6" width="19" customWidth="1"/>
    <col min="7" max="7" width="11" customWidth="1"/>
    <col min="8" max="8" width="24" customWidth="1"/>
    <col min="9" max="9" width="17" customWidth="1"/>
    <col min="10" max="10" width="32" customWidth="1"/>
    <col min="11" max="12" width="34" customWidth="1"/>
    <col min="13" max="13" width="28" customWidth="1"/>
    <col min="14" max="16" width="22" customWidth="1"/>
    <col min="17" max="17" width="25" customWidth="1"/>
    <col min="18" max="18" width="34" customWidth="1"/>
    <col min="19" max="19" width="42" customWidth="1"/>
  </cols>
  <sheetData>
    <row r="1" spans="1:19" ht="28" customHeight="1">
      <c r="A1" s="18" t="s">
        <v>821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ht="30" customHeight="1">
      <c r="A2" s="22" t="s">
        <v>822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19" ht="24" customHeight="1">
      <c r="A3" s="23" t="s">
        <v>823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</row>
    <row r="4" spans="1:19" ht="36" customHeight="1">
      <c r="A4" s="4" t="s">
        <v>6</v>
      </c>
      <c r="B4" s="4" t="s">
        <v>17</v>
      </c>
      <c r="C4" s="4" t="s">
        <v>18</v>
      </c>
      <c r="D4" s="4" t="s">
        <v>19</v>
      </c>
      <c r="E4" s="4" t="s">
        <v>21</v>
      </c>
      <c r="F4" s="4" t="s">
        <v>27</v>
      </c>
      <c r="G4" s="4" t="s">
        <v>22</v>
      </c>
      <c r="H4" s="4" t="s">
        <v>824</v>
      </c>
      <c r="I4" s="4" t="s">
        <v>825</v>
      </c>
      <c r="J4" s="4" t="s">
        <v>826</v>
      </c>
      <c r="K4" s="4" t="s">
        <v>827</v>
      </c>
      <c r="L4" s="4" t="s">
        <v>828</v>
      </c>
      <c r="M4" s="4" t="s">
        <v>829</v>
      </c>
      <c r="N4" s="4" t="s">
        <v>830</v>
      </c>
      <c r="O4" s="4" t="s">
        <v>831</v>
      </c>
      <c r="P4" s="4" t="s">
        <v>832</v>
      </c>
      <c r="Q4" s="4" t="s">
        <v>358</v>
      </c>
      <c r="R4" s="4" t="s">
        <v>833</v>
      </c>
      <c r="S4" s="4" t="s">
        <v>834</v>
      </c>
    </row>
    <row r="5" spans="1:19" ht="44" customHeight="1">
      <c r="A5" s="5" t="s">
        <v>12</v>
      </c>
      <c r="B5" s="5" t="s">
        <v>835</v>
      </c>
      <c r="C5" s="5" t="s">
        <v>836</v>
      </c>
      <c r="D5" s="6">
        <v>34000000</v>
      </c>
      <c r="E5" s="8">
        <v>46218.45</v>
      </c>
      <c r="F5" s="16">
        <v>46226.458333333343</v>
      </c>
      <c r="G5" s="9" t="s">
        <v>3</v>
      </c>
      <c r="H5" s="5" t="s">
        <v>113</v>
      </c>
      <c r="I5" s="5" t="s">
        <v>837</v>
      </c>
      <c r="J5" s="5" t="s">
        <v>838</v>
      </c>
      <c r="K5" s="5" t="s">
        <v>113</v>
      </c>
      <c r="L5" s="5" t="s">
        <v>113</v>
      </c>
      <c r="M5" s="5" t="s">
        <v>99</v>
      </c>
      <c r="N5" s="5" t="s">
        <v>839</v>
      </c>
      <c r="O5" s="5" t="s">
        <v>840</v>
      </c>
      <c r="P5" s="5" t="s">
        <v>841</v>
      </c>
      <c r="Q5" s="5" t="s">
        <v>842</v>
      </c>
      <c r="R5" s="5" t="s">
        <v>843</v>
      </c>
      <c r="S5" s="7" t="s">
        <v>844</v>
      </c>
    </row>
    <row r="6" spans="1:19" ht="44" customHeight="1">
      <c r="A6" s="5" t="s">
        <v>12</v>
      </c>
      <c r="B6" s="5" t="s">
        <v>845</v>
      </c>
      <c r="C6" s="5" t="s">
        <v>846</v>
      </c>
      <c r="D6" s="6">
        <v>30000000</v>
      </c>
      <c r="E6" s="8">
        <v>46224.584027777782</v>
      </c>
      <c r="F6" s="16">
        <v>46239.458333333343</v>
      </c>
      <c r="G6" s="9" t="s">
        <v>3</v>
      </c>
      <c r="H6" s="5" t="s">
        <v>113</v>
      </c>
      <c r="I6" s="5" t="s">
        <v>847</v>
      </c>
      <c r="J6" s="5" t="s">
        <v>848</v>
      </c>
      <c r="K6" s="5" t="s">
        <v>849</v>
      </c>
      <c r="L6" s="5" t="s">
        <v>113</v>
      </c>
      <c r="M6" s="5" t="s">
        <v>99</v>
      </c>
      <c r="N6" s="5" t="s">
        <v>839</v>
      </c>
      <c r="O6" s="5" t="s">
        <v>840</v>
      </c>
      <c r="P6" s="5" t="s">
        <v>841</v>
      </c>
      <c r="Q6" s="5" t="s">
        <v>362</v>
      </c>
      <c r="R6" s="5" t="s">
        <v>843</v>
      </c>
      <c r="S6" s="7" t="s">
        <v>850</v>
      </c>
    </row>
    <row r="7" spans="1:19" ht="44" customHeight="1">
      <c r="A7" s="5" t="s">
        <v>12</v>
      </c>
      <c r="B7" s="5" t="s">
        <v>33</v>
      </c>
      <c r="C7" s="5" t="s">
        <v>34</v>
      </c>
      <c r="D7" s="6">
        <v>51000000</v>
      </c>
      <c r="E7" s="8">
        <v>46224.739583333343</v>
      </c>
      <c r="F7" s="16">
        <v>46234.583333333343</v>
      </c>
      <c r="G7" s="9" t="s">
        <v>3</v>
      </c>
      <c r="H7" s="5" t="s">
        <v>113</v>
      </c>
      <c r="I7" s="17" t="s">
        <v>851</v>
      </c>
      <c r="J7" s="5" t="s">
        <v>852</v>
      </c>
      <c r="K7" s="5" t="s">
        <v>113</v>
      </c>
      <c r="L7" s="5" t="s">
        <v>113</v>
      </c>
      <c r="M7" s="5" t="s">
        <v>853</v>
      </c>
      <c r="N7" s="5" t="s">
        <v>839</v>
      </c>
      <c r="O7" s="5" t="s">
        <v>840</v>
      </c>
      <c r="P7" s="5" t="s">
        <v>841</v>
      </c>
      <c r="Q7" s="5" t="s">
        <v>362</v>
      </c>
      <c r="R7" s="5" t="s">
        <v>843</v>
      </c>
      <c r="S7" s="7" t="s">
        <v>854</v>
      </c>
    </row>
    <row r="8" spans="1:19" ht="44" customHeight="1">
      <c r="A8" s="5" t="s">
        <v>12</v>
      </c>
      <c r="B8" s="5" t="s">
        <v>855</v>
      </c>
      <c r="C8" s="5" t="s">
        <v>856</v>
      </c>
      <c r="D8" s="6">
        <v>46000000</v>
      </c>
      <c r="E8" s="8">
        <v>46027.583333333343</v>
      </c>
      <c r="F8" s="16">
        <v>46037.625</v>
      </c>
      <c r="G8" s="5" t="s">
        <v>27</v>
      </c>
      <c r="H8" s="5" t="s">
        <v>857</v>
      </c>
      <c r="I8" s="17" t="s">
        <v>851</v>
      </c>
      <c r="J8" s="5" t="s">
        <v>852</v>
      </c>
      <c r="K8" s="5" t="s">
        <v>113</v>
      </c>
      <c r="L8" s="5" t="s">
        <v>113</v>
      </c>
      <c r="M8" s="5" t="s">
        <v>853</v>
      </c>
      <c r="N8" s="5" t="s">
        <v>839</v>
      </c>
      <c r="O8" s="5" t="s">
        <v>840</v>
      </c>
      <c r="P8" s="5" t="s">
        <v>841</v>
      </c>
      <c r="Q8" s="5" t="s">
        <v>858</v>
      </c>
      <c r="R8" s="5" t="s">
        <v>843</v>
      </c>
      <c r="S8" s="7" t="s">
        <v>859</v>
      </c>
    </row>
    <row r="9" spans="1:19" ht="44" customHeight="1">
      <c r="A9" s="5" t="s">
        <v>12</v>
      </c>
      <c r="B9" s="5" t="s">
        <v>860</v>
      </c>
      <c r="C9" s="5" t="s">
        <v>861</v>
      </c>
      <c r="D9" s="6">
        <v>11000000</v>
      </c>
      <c r="E9" s="8">
        <v>46029.772916666669</v>
      </c>
      <c r="F9" s="16">
        <v>46044.772916666669</v>
      </c>
      <c r="G9" s="5" t="s">
        <v>27</v>
      </c>
      <c r="H9" s="5" t="s">
        <v>113</v>
      </c>
      <c r="I9" s="5" t="s">
        <v>837</v>
      </c>
      <c r="J9" s="5" t="s">
        <v>838</v>
      </c>
      <c r="K9" s="5" t="s">
        <v>113</v>
      </c>
      <c r="L9" s="5" t="s">
        <v>113</v>
      </c>
      <c r="M9" s="5" t="s">
        <v>99</v>
      </c>
      <c r="N9" s="5" t="s">
        <v>839</v>
      </c>
      <c r="O9" s="5" t="s">
        <v>840</v>
      </c>
      <c r="P9" s="5" t="s">
        <v>841</v>
      </c>
      <c r="Q9" s="5" t="s">
        <v>372</v>
      </c>
      <c r="R9" s="5" t="s">
        <v>843</v>
      </c>
      <c r="S9" s="7" t="s">
        <v>862</v>
      </c>
    </row>
    <row r="10" spans="1:19" ht="44" customHeight="1">
      <c r="A10" s="5" t="s">
        <v>12</v>
      </c>
      <c r="B10" s="5" t="s">
        <v>576</v>
      </c>
      <c r="C10" s="5" t="s">
        <v>577</v>
      </c>
      <c r="D10" s="6">
        <v>29930000</v>
      </c>
      <c r="E10" s="8">
        <v>46048.479861111111</v>
      </c>
      <c r="F10" s="16">
        <v>46052.416666666657</v>
      </c>
      <c r="G10" s="5" t="s">
        <v>27</v>
      </c>
      <c r="H10" s="5" t="s">
        <v>863</v>
      </c>
      <c r="I10" s="5" t="s">
        <v>847</v>
      </c>
      <c r="J10" s="5" t="s">
        <v>848</v>
      </c>
      <c r="K10" s="5" t="s">
        <v>864</v>
      </c>
      <c r="L10" s="5" t="s">
        <v>113</v>
      </c>
      <c r="M10" s="5" t="s">
        <v>853</v>
      </c>
      <c r="N10" s="5" t="s">
        <v>839</v>
      </c>
      <c r="O10" s="5" t="s">
        <v>840</v>
      </c>
      <c r="P10" s="5" t="s">
        <v>865</v>
      </c>
      <c r="Q10" s="5" t="s">
        <v>578</v>
      </c>
      <c r="R10" s="5" t="s">
        <v>843</v>
      </c>
      <c r="S10" s="7" t="s">
        <v>579</v>
      </c>
    </row>
    <row r="11" spans="1:19" ht="44" customHeight="1">
      <c r="A11" s="5" t="s">
        <v>12</v>
      </c>
      <c r="B11" s="5" t="s">
        <v>866</v>
      </c>
      <c r="C11" s="5" t="s">
        <v>867</v>
      </c>
      <c r="D11" s="6">
        <v>60000000</v>
      </c>
      <c r="E11" s="8">
        <v>46048.587500000001</v>
      </c>
      <c r="F11" s="16">
        <v>46063.587500000001</v>
      </c>
      <c r="G11" s="5" t="s">
        <v>27</v>
      </c>
      <c r="H11" s="5" t="s">
        <v>113</v>
      </c>
      <c r="I11" s="5" t="s">
        <v>847</v>
      </c>
      <c r="J11" s="5" t="s">
        <v>848</v>
      </c>
      <c r="K11" s="5" t="s">
        <v>868</v>
      </c>
      <c r="L11" s="5" t="s">
        <v>113</v>
      </c>
      <c r="M11" s="5" t="s">
        <v>853</v>
      </c>
      <c r="N11" s="5" t="s">
        <v>839</v>
      </c>
      <c r="O11" s="5" t="s">
        <v>840</v>
      </c>
      <c r="P11" s="5" t="s">
        <v>841</v>
      </c>
      <c r="Q11" s="5" t="s">
        <v>372</v>
      </c>
      <c r="R11" s="5" t="s">
        <v>869</v>
      </c>
      <c r="S11" s="7" t="s">
        <v>870</v>
      </c>
    </row>
    <row r="12" spans="1:19" ht="44" customHeight="1">
      <c r="A12" s="5" t="s">
        <v>12</v>
      </c>
      <c r="B12" s="5" t="s">
        <v>545</v>
      </c>
      <c r="C12" s="5" t="s">
        <v>546</v>
      </c>
      <c r="D12" s="6">
        <v>210000000</v>
      </c>
      <c r="E12" s="8">
        <v>46051.427083333343</v>
      </c>
      <c r="F12" s="16">
        <v>46062.625</v>
      </c>
      <c r="G12" s="5" t="s">
        <v>27</v>
      </c>
      <c r="H12" s="5" t="s">
        <v>871</v>
      </c>
      <c r="I12" s="5" t="s">
        <v>847</v>
      </c>
      <c r="J12" s="5" t="s">
        <v>848</v>
      </c>
      <c r="K12" s="5" t="s">
        <v>113</v>
      </c>
      <c r="L12" s="5" t="s">
        <v>872</v>
      </c>
      <c r="M12" s="5" t="s">
        <v>113</v>
      </c>
      <c r="N12" s="5" t="s">
        <v>839</v>
      </c>
      <c r="O12" s="5" t="s">
        <v>113</v>
      </c>
      <c r="P12" s="5" t="s">
        <v>873</v>
      </c>
      <c r="Q12" s="5" t="s">
        <v>372</v>
      </c>
      <c r="R12" s="5" t="s">
        <v>874</v>
      </c>
      <c r="S12" s="7" t="s">
        <v>547</v>
      </c>
    </row>
    <row r="13" spans="1:19" ht="44" customHeight="1">
      <c r="A13" s="5" t="s">
        <v>12</v>
      </c>
      <c r="B13" s="5" t="s">
        <v>634</v>
      </c>
      <c r="C13" s="5" t="s">
        <v>428</v>
      </c>
      <c r="D13" s="6">
        <v>221982000</v>
      </c>
      <c r="E13" s="8">
        <v>46056.679166666669</v>
      </c>
      <c r="F13" s="16">
        <v>46077.416666666657</v>
      </c>
      <c r="G13" s="5" t="s">
        <v>27</v>
      </c>
      <c r="H13" s="5" t="s">
        <v>632</v>
      </c>
      <c r="I13" s="5" t="s">
        <v>847</v>
      </c>
      <c r="J13" s="5" t="s">
        <v>848</v>
      </c>
      <c r="K13" s="5" t="s">
        <v>875</v>
      </c>
      <c r="L13" s="5" t="s">
        <v>876</v>
      </c>
      <c r="M13" s="5" t="s">
        <v>853</v>
      </c>
      <c r="N13" s="5" t="s">
        <v>839</v>
      </c>
      <c r="O13" s="5" t="s">
        <v>840</v>
      </c>
      <c r="P13" s="5" t="s">
        <v>841</v>
      </c>
      <c r="Q13" s="5" t="s">
        <v>372</v>
      </c>
      <c r="R13" s="5" t="s">
        <v>843</v>
      </c>
      <c r="S13" s="7" t="s">
        <v>635</v>
      </c>
    </row>
    <row r="14" spans="1:19" ht="44" customHeight="1">
      <c r="A14" s="5" t="s">
        <v>12</v>
      </c>
      <c r="B14" s="5" t="s">
        <v>877</v>
      </c>
      <c r="C14" s="5" t="s">
        <v>878</v>
      </c>
      <c r="D14" s="6">
        <v>100000000</v>
      </c>
      <c r="E14" s="8">
        <v>46085.720138888893</v>
      </c>
      <c r="F14" s="16">
        <v>46100.720138888893</v>
      </c>
      <c r="G14" s="5" t="s">
        <v>27</v>
      </c>
      <c r="H14" s="5" t="s">
        <v>113</v>
      </c>
      <c r="I14" s="17" t="s">
        <v>851</v>
      </c>
      <c r="J14" s="5" t="s">
        <v>852</v>
      </c>
      <c r="K14" s="5" t="s">
        <v>113</v>
      </c>
      <c r="L14" s="5" t="s">
        <v>113</v>
      </c>
      <c r="M14" s="5" t="s">
        <v>853</v>
      </c>
      <c r="N14" s="5" t="s">
        <v>839</v>
      </c>
      <c r="O14" s="5" t="s">
        <v>840</v>
      </c>
      <c r="P14" s="5" t="s">
        <v>841</v>
      </c>
      <c r="Q14" s="5" t="s">
        <v>372</v>
      </c>
      <c r="R14" s="5" t="s">
        <v>879</v>
      </c>
      <c r="S14" s="7" t="s">
        <v>880</v>
      </c>
    </row>
    <row r="15" spans="1:19" ht="44" customHeight="1">
      <c r="A15" s="5" t="s">
        <v>12</v>
      </c>
      <c r="B15" s="5" t="s">
        <v>385</v>
      </c>
      <c r="C15" s="5" t="s">
        <v>48</v>
      </c>
      <c r="D15" s="6">
        <v>120000000</v>
      </c>
      <c r="E15" s="8">
        <v>46098.436111111107</v>
      </c>
      <c r="F15" s="16">
        <v>46119.458333333343</v>
      </c>
      <c r="G15" s="5" t="s">
        <v>27</v>
      </c>
      <c r="H15" s="5" t="s">
        <v>745</v>
      </c>
      <c r="I15" s="5" t="s">
        <v>847</v>
      </c>
      <c r="J15" s="5" t="s">
        <v>848</v>
      </c>
      <c r="K15" s="5" t="s">
        <v>875</v>
      </c>
      <c r="L15" s="5" t="s">
        <v>113</v>
      </c>
      <c r="M15" s="5" t="s">
        <v>853</v>
      </c>
      <c r="N15" s="5" t="s">
        <v>839</v>
      </c>
      <c r="O15" s="5" t="s">
        <v>840</v>
      </c>
      <c r="P15" s="5" t="s">
        <v>841</v>
      </c>
      <c r="Q15" s="5" t="s">
        <v>372</v>
      </c>
      <c r="R15" s="5" t="s">
        <v>843</v>
      </c>
      <c r="S15" s="7" t="s">
        <v>386</v>
      </c>
    </row>
    <row r="16" spans="1:19" ht="44" customHeight="1">
      <c r="A16" s="5" t="s">
        <v>12</v>
      </c>
      <c r="B16" s="5" t="s">
        <v>714</v>
      </c>
      <c r="C16" s="5" t="s">
        <v>715</v>
      </c>
      <c r="D16" s="6">
        <v>100000000</v>
      </c>
      <c r="E16" s="8">
        <v>46107.481249999997</v>
      </c>
      <c r="F16" s="16">
        <v>46118.708333333343</v>
      </c>
      <c r="G16" s="5" t="s">
        <v>27</v>
      </c>
      <c r="H16" s="5" t="s">
        <v>881</v>
      </c>
      <c r="I16" s="5" t="s">
        <v>847</v>
      </c>
      <c r="J16" s="5" t="s">
        <v>848</v>
      </c>
      <c r="K16" s="5" t="s">
        <v>868</v>
      </c>
      <c r="L16" s="5" t="s">
        <v>113</v>
      </c>
      <c r="M16" s="5" t="s">
        <v>853</v>
      </c>
      <c r="N16" s="5" t="s">
        <v>839</v>
      </c>
      <c r="O16" s="5" t="s">
        <v>840</v>
      </c>
      <c r="P16" s="5" t="s">
        <v>841</v>
      </c>
      <c r="Q16" s="5" t="s">
        <v>372</v>
      </c>
      <c r="R16" s="5" t="s">
        <v>843</v>
      </c>
      <c r="S16" s="7" t="s">
        <v>716</v>
      </c>
    </row>
    <row r="17" spans="1:19" ht="44" customHeight="1">
      <c r="A17" s="5" t="s">
        <v>12</v>
      </c>
      <c r="B17" s="5" t="s">
        <v>476</v>
      </c>
      <c r="C17" s="5" t="s">
        <v>477</v>
      </c>
      <c r="D17" s="6">
        <v>157200000</v>
      </c>
      <c r="E17" s="8">
        <v>46112.430555555547</v>
      </c>
      <c r="F17" s="16">
        <v>46133.625</v>
      </c>
      <c r="G17" s="5" t="s">
        <v>27</v>
      </c>
      <c r="H17" s="5" t="s">
        <v>882</v>
      </c>
      <c r="I17" s="5" t="s">
        <v>847</v>
      </c>
      <c r="J17" s="5" t="s">
        <v>848</v>
      </c>
      <c r="K17" s="5" t="s">
        <v>868</v>
      </c>
      <c r="L17" s="5" t="s">
        <v>113</v>
      </c>
      <c r="M17" s="5" t="s">
        <v>853</v>
      </c>
      <c r="N17" s="5" t="s">
        <v>839</v>
      </c>
      <c r="O17" s="5" t="s">
        <v>840</v>
      </c>
      <c r="P17" s="5" t="s">
        <v>841</v>
      </c>
      <c r="Q17" s="5" t="s">
        <v>372</v>
      </c>
      <c r="R17" s="5" t="s">
        <v>883</v>
      </c>
      <c r="S17" s="7" t="s">
        <v>478</v>
      </c>
    </row>
    <row r="18" spans="1:19" ht="44" customHeight="1">
      <c r="A18" s="5" t="s">
        <v>12</v>
      </c>
      <c r="B18" s="5" t="s">
        <v>884</v>
      </c>
      <c r="C18" s="5" t="s">
        <v>885</v>
      </c>
      <c r="D18" s="6">
        <v>30000000</v>
      </c>
      <c r="E18" s="8">
        <v>46113.682638888888</v>
      </c>
      <c r="F18" s="16" t="s">
        <v>113</v>
      </c>
      <c r="G18" s="5" t="s">
        <v>27</v>
      </c>
      <c r="H18" s="5" t="s">
        <v>113</v>
      </c>
      <c r="I18" s="17" t="s">
        <v>851</v>
      </c>
      <c r="J18" s="5" t="s">
        <v>852</v>
      </c>
      <c r="K18" s="5" t="s">
        <v>113</v>
      </c>
      <c r="L18" s="5" t="s">
        <v>113</v>
      </c>
      <c r="M18" s="5" t="s">
        <v>113</v>
      </c>
      <c r="N18" s="5" t="s">
        <v>839</v>
      </c>
      <c r="O18" s="5" t="s">
        <v>113</v>
      </c>
      <c r="P18" s="5" t="s">
        <v>841</v>
      </c>
      <c r="Q18" s="5" t="s">
        <v>372</v>
      </c>
      <c r="R18" s="5" t="s">
        <v>874</v>
      </c>
      <c r="S18" s="7" t="s">
        <v>886</v>
      </c>
    </row>
    <row r="19" spans="1:19" ht="44" customHeight="1">
      <c r="A19" s="5" t="s">
        <v>12</v>
      </c>
      <c r="B19" s="5" t="s">
        <v>711</v>
      </c>
      <c r="C19" s="5" t="s">
        <v>712</v>
      </c>
      <c r="D19" s="6">
        <v>40000000</v>
      </c>
      <c r="E19" s="8">
        <v>46125.479861111111</v>
      </c>
      <c r="F19" s="16">
        <v>46135.75</v>
      </c>
      <c r="G19" s="5" t="s">
        <v>27</v>
      </c>
      <c r="H19" s="5" t="s">
        <v>113</v>
      </c>
      <c r="I19" s="17" t="s">
        <v>851</v>
      </c>
      <c r="J19" s="5" t="s">
        <v>852</v>
      </c>
      <c r="K19" s="5" t="s">
        <v>113</v>
      </c>
      <c r="L19" s="5" t="s">
        <v>113</v>
      </c>
      <c r="M19" s="5" t="s">
        <v>853</v>
      </c>
      <c r="N19" s="5" t="s">
        <v>839</v>
      </c>
      <c r="O19" s="5" t="s">
        <v>840</v>
      </c>
      <c r="P19" s="5" t="s">
        <v>841</v>
      </c>
      <c r="Q19" s="5" t="s">
        <v>362</v>
      </c>
      <c r="R19" s="5" t="s">
        <v>887</v>
      </c>
      <c r="S19" s="7" t="s">
        <v>713</v>
      </c>
    </row>
    <row r="20" spans="1:19" ht="44" customHeight="1">
      <c r="A20" s="5" t="s">
        <v>12</v>
      </c>
      <c r="B20" s="5" t="s">
        <v>888</v>
      </c>
      <c r="C20" s="5" t="s">
        <v>48</v>
      </c>
      <c r="D20" s="6">
        <v>150000000</v>
      </c>
      <c r="E20" s="8">
        <v>46133.379861111112</v>
      </c>
      <c r="F20" s="16">
        <v>46154.458333333343</v>
      </c>
      <c r="G20" s="5" t="s">
        <v>27</v>
      </c>
      <c r="H20" s="5" t="s">
        <v>113</v>
      </c>
      <c r="I20" s="5" t="s">
        <v>847</v>
      </c>
      <c r="J20" s="5" t="s">
        <v>848</v>
      </c>
      <c r="K20" s="5" t="s">
        <v>875</v>
      </c>
      <c r="L20" s="5" t="s">
        <v>113</v>
      </c>
      <c r="M20" s="5" t="s">
        <v>853</v>
      </c>
      <c r="N20" s="5" t="s">
        <v>839</v>
      </c>
      <c r="O20" s="5" t="s">
        <v>840</v>
      </c>
      <c r="P20" s="5" t="s">
        <v>841</v>
      </c>
      <c r="Q20" s="5" t="s">
        <v>362</v>
      </c>
      <c r="R20" s="5" t="s">
        <v>889</v>
      </c>
      <c r="S20" s="7" t="s">
        <v>890</v>
      </c>
    </row>
    <row r="21" spans="1:19" ht="44" customHeight="1">
      <c r="A21" s="5" t="s">
        <v>12</v>
      </c>
      <c r="B21" s="5" t="s">
        <v>891</v>
      </c>
      <c r="C21" s="5" t="s">
        <v>892</v>
      </c>
      <c r="D21" s="6">
        <v>164500000</v>
      </c>
      <c r="E21" s="8">
        <v>46134.590277777781</v>
      </c>
      <c r="F21" s="16">
        <v>46149.625</v>
      </c>
      <c r="G21" s="5" t="s">
        <v>27</v>
      </c>
      <c r="H21" s="5" t="s">
        <v>113</v>
      </c>
      <c r="I21" s="17" t="s">
        <v>851</v>
      </c>
      <c r="J21" s="5" t="s">
        <v>852</v>
      </c>
      <c r="K21" s="5" t="s">
        <v>113</v>
      </c>
      <c r="L21" s="5" t="s">
        <v>113</v>
      </c>
      <c r="M21" s="5" t="s">
        <v>853</v>
      </c>
      <c r="N21" s="5" t="s">
        <v>893</v>
      </c>
      <c r="O21" s="5" t="s">
        <v>840</v>
      </c>
      <c r="P21" s="5" t="s">
        <v>841</v>
      </c>
      <c r="Q21" s="5" t="s">
        <v>362</v>
      </c>
      <c r="R21" s="5" t="s">
        <v>843</v>
      </c>
      <c r="S21" s="7" t="s">
        <v>894</v>
      </c>
    </row>
    <row r="22" spans="1:19" ht="44" customHeight="1">
      <c r="A22" s="5" t="s">
        <v>12</v>
      </c>
      <c r="B22" s="5" t="s">
        <v>895</v>
      </c>
      <c r="C22" s="5" t="s">
        <v>892</v>
      </c>
      <c r="D22" s="6">
        <v>65000000</v>
      </c>
      <c r="E22" s="8">
        <v>46134.591666666667</v>
      </c>
      <c r="F22" s="16">
        <v>46149.591666666667</v>
      </c>
      <c r="G22" s="5" t="s">
        <v>27</v>
      </c>
      <c r="H22" s="5" t="s">
        <v>113</v>
      </c>
      <c r="I22" s="17" t="s">
        <v>851</v>
      </c>
      <c r="J22" s="5" t="s">
        <v>852</v>
      </c>
      <c r="K22" s="5" t="s">
        <v>113</v>
      </c>
      <c r="L22" s="5" t="s">
        <v>113</v>
      </c>
      <c r="M22" s="5" t="s">
        <v>853</v>
      </c>
      <c r="N22" s="5" t="s">
        <v>893</v>
      </c>
      <c r="O22" s="5" t="s">
        <v>840</v>
      </c>
      <c r="P22" s="5" t="s">
        <v>841</v>
      </c>
      <c r="Q22" s="5" t="s">
        <v>362</v>
      </c>
      <c r="R22" s="5" t="s">
        <v>896</v>
      </c>
      <c r="S22" s="7" t="s">
        <v>897</v>
      </c>
    </row>
    <row r="23" spans="1:19" ht="44" customHeight="1">
      <c r="A23" s="5" t="s">
        <v>12</v>
      </c>
      <c r="B23" s="5" t="s">
        <v>898</v>
      </c>
      <c r="C23" s="5" t="s">
        <v>899</v>
      </c>
      <c r="D23" s="6">
        <v>15900000</v>
      </c>
      <c r="E23" s="8">
        <v>46135.728472222218</v>
      </c>
      <c r="F23" s="16">
        <v>46148.583333333343</v>
      </c>
      <c r="G23" s="5" t="s">
        <v>27</v>
      </c>
      <c r="H23" s="5" t="s">
        <v>113</v>
      </c>
      <c r="I23" s="17" t="s">
        <v>851</v>
      </c>
      <c r="J23" s="5" t="s">
        <v>852</v>
      </c>
      <c r="K23" s="5" t="s">
        <v>113</v>
      </c>
      <c r="L23" s="5" t="s">
        <v>113</v>
      </c>
      <c r="M23" s="5" t="s">
        <v>853</v>
      </c>
      <c r="N23" s="5" t="s">
        <v>839</v>
      </c>
      <c r="O23" s="5" t="s">
        <v>840</v>
      </c>
      <c r="P23" s="5" t="s">
        <v>841</v>
      </c>
      <c r="Q23" s="5" t="s">
        <v>842</v>
      </c>
      <c r="R23" s="5" t="s">
        <v>900</v>
      </c>
      <c r="S23" s="7" t="s">
        <v>901</v>
      </c>
    </row>
    <row r="24" spans="1:19" ht="44" customHeight="1">
      <c r="A24" s="5" t="s">
        <v>12</v>
      </c>
      <c r="B24" s="5" t="s">
        <v>898</v>
      </c>
      <c r="C24" s="5" t="s">
        <v>899</v>
      </c>
      <c r="D24" s="6">
        <v>15900000</v>
      </c>
      <c r="E24" s="8">
        <v>46148.672222222223</v>
      </c>
      <c r="F24" s="16">
        <v>46156.458333333343</v>
      </c>
      <c r="G24" s="5" t="s">
        <v>27</v>
      </c>
      <c r="H24" s="5" t="s">
        <v>113</v>
      </c>
      <c r="I24" s="17" t="s">
        <v>851</v>
      </c>
      <c r="J24" s="5" t="s">
        <v>852</v>
      </c>
      <c r="K24" s="5" t="s">
        <v>113</v>
      </c>
      <c r="L24" s="5" t="s">
        <v>113</v>
      </c>
      <c r="M24" s="5" t="s">
        <v>853</v>
      </c>
      <c r="N24" s="5" t="s">
        <v>839</v>
      </c>
      <c r="O24" s="5" t="s">
        <v>840</v>
      </c>
      <c r="P24" s="5" t="s">
        <v>841</v>
      </c>
      <c r="Q24" s="5" t="s">
        <v>842</v>
      </c>
      <c r="R24" s="5" t="s">
        <v>902</v>
      </c>
      <c r="S24" s="7" t="s">
        <v>903</v>
      </c>
    </row>
    <row r="25" spans="1:19" ht="44" customHeight="1">
      <c r="A25" s="5" t="s">
        <v>12</v>
      </c>
      <c r="B25" s="5" t="s">
        <v>904</v>
      </c>
      <c r="C25" s="5" t="s">
        <v>718</v>
      </c>
      <c r="D25" s="6">
        <v>5830000</v>
      </c>
      <c r="E25" s="8">
        <v>46149.672222222223</v>
      </c>
      <c r="F25" s="16">
        <v>46155.625</v>
      </c>
      <c r="G25" s="5" t="s">
        <v>27</v>
      </c>
      <c r="H25" s="5" t="s">
        <v>905</v>
      </c>
      <c r="I25" s="17" t="s">
        <v>851</v>
      </c>
      <c r="J25" s="5" t="s">
        <v>852</v>
      </c>
      <c r="K25" s="5" t="s">
        <v>113</v>
      </c>
      <c r="L25" s="5" t="s">
        <v>113</v>
      </c>
      <c r="M25" s="5" t="s">
        <v>853</v>
      </c>
      <c r="N25" s="5" t="s">
        <v>839</v>
      </c>
      <c r="O25" s="5" t="s">
        <v>840</v>
      </c>
      <c r="P25" s="5" t="s">
        <v>841</v>
      </c>
      <c r="Q25" s="5" t="s">
        <v>695</v>
      </c>
      <c r="R25" s="5" t="s">
        <v>843</v>
      </c>
      <c r="S25" s="7" t="s">
        <v>906</v>
      </c>
    </row>
    <row r="26" spans="1:19" ht="44" customHeight="1">
      <c r="A26" s="5" t="s">
        <v>12</v>
      </c>
      <c r="B26" s="5" t="s">
        <v>471</v>
      </c>
      <c r="C26" s="5" t="s">
        <v>472</v>
      </c>
      <c r="D26" s="6">
        <v>110000000</v>
      </c>
      <c r="E26" s="8">
        <v>46156.633333333331</v>
      </c>
      <c r="F26" s="16">
        <v>46178.5</v>
      </c>
      <c r="G26" s="5" t="s">
        <v>27</v>
      </c>
      <c r="H26" s="5" t="s">
        <v>907</v>
      </c>
      <c r="I26" s="5" t="s">
        <v>847</v>
      </c>
      <c r="J26" s="5" t="s">
        <v>848</v>
      </c>
      <c r="K26" s="5" t="s">
        <v>908</v>
      </c>
      <c r="L26" s="5" t="s">
        <v>872</v>
      </c>
      <c r="M26" s="5" t="s">
        <v>113</v>
      </c>
      <c r="N26" s="5" t="s">
        <v>839</v>
      </c>
      <c r="O26" s="5" t="s">
        <v>113</v>
      </c>
      <c r="P26" s="5" t="s">
        <v>841</v>
      </c>
      <c r="Q26" s="5" t="s">
        <v>362</v>
      </c>
      <c r="R26" s="5" t="s">
        <v>874</v>
      </c>
      <c r="S26" s="7" t="s">
        <v>473</v>
      </c>
    </row>
    <row r="27" spans="1:19" ht="44" customHeight="1">
      <c r="A27" s="5" t="s">
        <v>12</v>
      </c>
      <c r="B27" s="5" t="s">
        <v>909</v>
      </c>
      <c r="C27" s="5" t="s">
        <v>856</v>
      </c>
      <c r="D27" s="6">
        <v>46000000</v>
      </c>
      <c r="E27" s="8">
        <v>46160.783333333333</v>
      </c>
      <c r="F27" s="16">
        <v>46171.416666666657</v>
      </c>
      <c r="G27" s="5" t="s">
        <v>27</v>
      </c>
      <c r="H27" s="5" t="s">
        <v>857</v>
      </c>
      <c r="I27" s="17" t="s">
        <v>851</v>
      </c>
      <c r="J27" s="5" t="s">
        <v>852</v>
      </c>
      <c r="K27" s="5" t="s">
        <v>113</v>
      </c>
      <c r="L27" s="5" t="s">
        <v>113</v>
      </c>
      <c r="M27" s="5" t="s">
        <v>853</v>
      </c>
      <c r="N27" s="5" t="s">
        <v>839</v>
      </c>
      <c r="O27" s="5" t="s">
        <v>840</v>
      </c>
      <c r="P27" s="5" t="s">
        <v>841</v>
      </c>
      <c r="Q27" s="5" t="s">
        <v>910</v>
      </c>
      <c r="R27" s="5" t="s">
        <v>843</v>
      </c>
      <c r="S27" s="7" t="s">
        <v>911</v>
      </c>
    </row>
    <row r="28" spans="1:19" ht="44" customHeight="1">
      <c r="A28" s="5" t="s">
        <v>12</v>
      </c>
      <c r="B28" s="5" t="s">
        <v>912</v>
      </c>
      <c r="C28" s="5" t="s">
        <v>913</v>
      </c>
      <c r="D28" s="6">
        <v>21810000</v>
      </c>
      <c r="E28" s="8">
        <v>46163.60833333333</v>
      </c>
      <c r="F28" s="16">
        <v>46169.708333333343</v>
      </c>
      <c r="G28" s="5" t="s">
        <v>27</v>
      </c>
      <c r="H28" s="5" t="s">
        <v>914</v>
      </c>
      <c r="I28" s="17" t="s">
        <v>851</v>
      </c>
      <c r="J28" s="5" t="s">
        <v>852</v>
      </c>
      <c r="K28" s="5" t="s">
        <v>113</v>
      </c>
      <c r="L28" s="5" t="s">
        <v>113</v>
      </c>
      <c r="M28" s="5" t="s">
        <v>113</v>
      </c>
      <c r="N28" s="5" t="s">
        <v>839</v>
      </c>
      <c r="O28" s="5" t="s">
        <v>113</v>
      </c>
      <c r="P28" s="5" t="s">
        <v>841</v>
      </c>
      <c r="Q28" s="5" t="s">
        <v>695</v>
      </c>
      <c r="R28" s="5" t="s">
        <v>874</v>
      </c>
      <c r="S28" s="7" t="s">
        <v>915</v>
      </c>
    </row>
    <row r="29" spans="1:19" ht="44" customHeight="1">
      <c r="A29" s="5" t="s">
        <v>12</v>
      </c>
      <c r="B29" s="5" t="s">
        <v>916</v>
      </c>
      <c r="C29" s="5" t="s">
        <v>917</v>
      </c>
      <c r="D29" s="6">
        <v>54900000</v>
      </c>
      <c r="E29" s="8">
        <v>46168.709722222222</v>
      </c>
      <c r="F29" s="16">
        <v>46181.458333333343</v>
      </c>
      <c r="G29" s="5" t="s">
        <v>27</v>
      </c>
      <c r="H29" s="5" t="s">
        <v>113</v>
      </c>
      <c r="I29" s="17" t="s">
        <v>851</v>
      </c>
      <c r="J29" s="5" t="s">
        <v>852</v>
      </c>
      <c r="K29" s="5" t="s">
        <v>113</v>
      </c>
      <c r="L29" s="5" t="s">
        <v>113</v>
      </c>
      <c r="M29" s="5" t="s">
        <v>853</v>
      </c>
      <c r="N29" s="5" t="s">
        <v>839</v>
      </c>
      <c r="O29" s="5" t="s">
        <v>840</v>
      </c>
      <c r="P29" s="5" t="s">
        <v>841</v>
      </c>
      <c r="Q29" s="5" t="s">
        <v>362</v>
      </c>
      <c r="R29" s="5" t="s">
        <v>843</v>
      </c>
      <c r="S29" s="7" t="s">
        <v>918</v>
      </c>
    </row>
    <row r="30" spans="1:19" ht="44" customHeight="1">
      <c r="A30" s="5" t="s">
        <v>12</v>
      </c>
      <c r="B30" s="5" t="s">
        <v>919</v>
      </c>
      <c r="C30" s="5" t="s">
        <v>584</v>
      </c>
      <c r="D30" s="6">
        <v>67500000</v>
      </c>
      <c r="E30" s="8">
        <v>46169.720833333333</v>
      </c>
      <c r="F30" s="16">
        <v>46178.458333333343</v>
      </c>
      <c r="G30" s="5" t="s">
        <v>27</v>
      </c>
      <c r="H30" s="5" t="s">
        <v>920</v>
      </c>
      <c r="I30" s="5" t="s">
        <v>837</v>
      </c>
      <c r="J30" s="5" t="s">
        <v>838</v>
      </c>
      <c r="K30" s="5" t="s">
        <v>113</v>
      </c>
      <c r="L30" s="5" t="s">
        <v>113</v>
      </c>
      <c r="M30" s="5" t="s">
        <v>99</v>
      </c>
      <c r="N30" s="5" t="s">
        <v>839</v>
      </c>
      <c r="O30" s="5" t="s">
        <v>841</v>
      </c>
      <c r="P30" s="5" t="s">
        <v>841</v>
      </c>
      <c r="Q30" s="5" t="s">
        <v>362</v>
      </c>
      <c r="R30" s="5" t="s">
        <v>843</v>
      </c>
      <c r="S30" s="7" t="s">
        <v>921</v>
      </c>
    </row>
    <row r="31" spans="1:19" ht="44" customHeight="1">
      <c r="A31" s="5" t="s">
        <v>12</v>
      </c>
      <c r="B31" s="5" t="s">
        <v>922</v>
      </c>
      <c r="C31" s="5" t="s">
        <v>923</v>
      </c>
      <c r="D31" s="6"/>
      <c r="E31" s="8">
        <v>46171.695138888892</v>
      </c>
      <c r="F31" s="16">
        <v>46186.695138888892</v>
      </c>
      <c r="G31" s="5" t="s">
        <v>27</v>
      </c>
      <c r="H31" s="5" t="s">
        <v>113</v>
      </c>
      <c r="I31" s="17" t="s">
        <v>851</v>
      </c>
      <c r="J31" s="5" t="s">
        <v>852</v>
      </c>
      <c r="K31" s="5" t="s">
        <v>113</v>
      </c>
      <c r="L31" s="5" t="s">
        <v>113</v>
      </c>
      <c r="M31" s="5" t="s">
        <v>113</v>
      </c>
      <c r="N31" s="5" t="s">
        <v>839</v>
      </c>
      <c r="O31" s="5" t="s">
        <v>113</v>
      </c>
      <c r="P31" s="5" t="s">
        <v>841</v>
      </c>
      <c r="Q31" s="5" t="s">
        <v>924</v>
      </c>
      <c r="R31" s="5" t="s">
        <v>874</v>
      </c>
      <c r="S31" s="7" t="s">
        <v>925</v>
      </c>
    </row>
    <row r="32" spans="1:19" ht="44" customHeight="1">
      <c r="A32" s="5" t="s">
        <v>12</v>
      </c>
      <c r="B32" s="5" t="s">
        <v>926</v>
      </c>
      <c r="C32" s="5" t="s">
        <v>752</v>
      </c>
      <c r="D32" s="6">
        <v>20000000</v>
      </c>
      <c r="E32" s="8">
        <v>46174.477777777778</v>
      </c>
      <c r="F32" s="16">
        <v>46175.5</v>
      </c>
      <c r="G32" s="5" t="s">
        <v>27</v>
      </c>
      <c r="H32" s="5" t="s">
        <v>927</v>
      </c>
      <c r="I32" s="5" t="s">
        <v>847</v>
      </c>
      <c r="J32" s="5" t="s">
        <v>848</v>
      </c>
      <c r="K32" s="5" t="s">
        <v>928</v>
      </c>
      <c r="L32" s="5" t="s">
        <v>872</v>
      </c>
      <c r="M32" s="5" t="s">
        <v>853</v>
      </c>
      <c r="N32" s="5" t="s">
        <v>839</v>
      </c>
      <c r="O32" s="5" t="s">
        <v>840</v>
      </c>
      <c r="P32" s="5" t="s">
        <v>841</v>
      </c>
      <c r="Q32" s="5" t="s">
        <v>695</v>
      </c>
      <c r="R32" s="5" t="s">
        <v>929</v>
      </c>
      <c r="S32" s="7" t="s">
        <v>930</v>
      </c>
    </row>
    <row r="33" spans="1:19" ht="44" customHeight="1">
      <c r="A33" s="5" t="s">
        <v>12</v>
      </c>
      <c r="B33" s="5" t="s">
        <v>931</v>
      </c>
      <c r="C33" s="5" t="s">
        <v>515</v>
      </c>
      <c r="D33" s="6">
        <v>30000000</v>
      </c>
      <c r="E33" s="8">
        <v>46174.486805555563</v>
      </c>
      <c r="F33" s="16">
        <v>46189.486805555563</v>
      </c>
      <c r="G33" s="5" t="s">
        <v>27</v>
      </c>
      <c r="H33" s="5" t="s">
        <v>113</v>
      </c>
      <c r="I33" s="5" t="s">
        <v>847</v>
      </c>
      <c r="J33" s="5" t="s">
        <v>848</v>
      </c>
      <c r="K33" s="5" t="s">
        <v>113</v>
      </c>
      <c r="L33" s="5" t="s">
        <v>872</v>
      </c>
      <c r="M33" s="5" t="s">
        <v>99</v>
      </c>
      <c r="N33" s="5" t="s">
        <v>839</v>
      </c>
      <c r="O33" s="5" t="s">
        <v>840</v>
      </c>
      <c r="P33" s="5" t="s">
        <v>841</v>
      </c>
      <c r="Q33" s="5" t="s">
        <v>362</v>
      </c>
      <c r="R33" s="5" t="s">
        <v>932</v>
      </c>
      <c r="S33" s="7" t="s">
        <v>933</v>
      </c>
    </row>
    <row r="34" spans="1:19" ht="44" customHeight="1">
      <c r="A34" s="5" t="s">
        <v>12</v>
      </c>
      <c r="B34" s="5" t="s">
        <v>934</v>
      </c>
      <c r="C34" s="5" t="s">
        <v>935</v>
      </c>
      <c r="D34" s="6">
        <v>30000000</v>
      </c>
      <c r="E34" s="8">
        <v>46177.70208333333</v>
      </c>
      <c r="F34" s="16">
        <v>46188.708333333343</v>
      </c>
      <c r="G34" s="5" t="s">
        <v>27</v>
      </c>
      <c r="H34" s="5" t="s">
        <v>936</v>
      </c>
      <c r="I34" s="17" t="s">
        <v>851</v>
      </c>
      <c r="J34" s="5" t="s">
        <v>852</v>
      </c>
      <c r="K34" s="5" t="s">
        <v>113</v>
      </c>
      <c r="L34" s="5" t="s">
        <v>113</v>
      </c>
      <c r="M34" s="5" t="s">
        <v>853</v>
      </c>
      <c r="N34" s="5" t="s">
        <v>839</v>
      </c>
      <c r="O34" s="5" t="s">
        <v>840</v>
      </c>
      <c r="P34" s="5" t="s">
        <v>841</v>
      </c>
      <c r="Q34" s="5" t="s">
        <v>362</v>
      </c>
      <c r="R34" s="5" t="s">
        <v>843</v>
      </c>
      <c r="S34" s="7" t="s">
        <v>937</v>
      </c>
    </row>
    <row r="35" spans="1:19" ht="44" customHeight="1">
      <c r="A35" s="5" t="s">
        <v>12</v>
      </c>
      <c r="B35" s="5" t="s">
        <v>916</v>
      </c>
      <c r="C35" s="5" t="s">
        <v>917</v>
      </c>
      <c r="D35" s="6">
        <v>54900000</v>
      </c>
      <c r="E35" s="8">
        <v>46181.710416666669</v>
      </c>
      <c r="F35" s="16">
        <v>46196.710416666669</v>
      </c>
      <c r="G35" s="5" t="s">
        <v>27</v>
      </c>
      <c r="H35" s="5" t="s">
        <v>113</v>
      </c>
      <c r="I35" s="17" t="s">
        <v>851</v>
      </c>
      <c r="J35" s="5" t="s">
        <v>852</v>
      </c>
      <c r="K35" s="5" t="s">
        <v>113</v>
      </c>
      <c r="L35" s="5" t="s">
        <v>113</v>
      </c>
      <c r="M35" s="5" t="s">
        <v>853</v>
      </c>
      <c r="N35" s="5" t="s">
        <v>839</v>
      </c>
      <c r="O35" s="5" t="s">
        <v>113</v>
      </c>
      <c r="P35" s="5" t="s">
        <v>841</v>
      </c>
      <c r="Q35" s="5" t="s">
        <v>362</v>
      </c>
      <c r="R35" s="5" t="s">
        <v>843</v>
      </c>
      <c r="S35" s="7" t="s">
        <v>938</v>
      </c>
    </row>
    <row r="36" spans="1:19" ht="44" customHeight="1">
      <c r="A36" s="5" t="s">
        <v>12</v>
      </c>
      <c r="B36" s="5" t="s">
        <v>939</v>
      </c>
      <c r="C36" s="5" t="s">
        <v>940</v>
      </c>
      <c r="D36" s="6">
        <v>100000000</v>
      </c>
      <c r="E36" s="8">
        <v>46184.427777777782</v>
      </c>
      <c r="F36" s="16">
        <v>46195.5</v>
      </c>
      <c r="G36" s="5" t="s">
        <v>27</v>
      </c>
      <c r="H36" s="5" t="s">
        <v>941</v>
      </c>
      <c r="I36" s="5" t="s">
        <v>847</v>
      </c>
      <c r="J36" s="5" t="s">
        <v>848</v>
      </c>
      <c r="K36" s="5" t="s">
        <v>942</v>
      </c>
      <c r="L36" s="5" t="s">
        <v>113</v>
      </c>
      <c r="M36" s="5" t="s">
        <v>853</v>
      </c>
      <c r="N36" s="5" t="s">
        <v>839</v>
      </c>
      <c r="O36" s="5" t="s">
        <v>840</v>
      </c>
      <c r="P36" s="5" t="s">
        <v>841</v>
      </c>
      <c r="Q36" s="5" t="s">
        <v>362</v>
      </c>
      <c r="R36" s="5" t="s">
        <v>843</v>
      </c>
      <c r="S36" s="7" t="s">
        <v>943</v>
      </c>
    </row>
    <row r="37" spans="1:19" ht="44" customHeight="1">
      <c r="A37" s="5" t="s">
        <v>12</v>
      </c>
      <c r="B37" s="5" t="s">
        <v>689</v>
      </c>
      <c r="C37" s="5" t="s">
        <v>690</v>
      </c>
      <c r="D37" s="6">
        <v>80000000</v>
      </c>
      <c r="E37" s="8">
        <v>46188.497916666667</v>
      </c>
      <c r="F37" s="16">
        <v>46196.458333333343</v>
      </c>
      <c r="G37" s="5" t="s">
        <v>27</v>
      </c>
      <c r="H37" s="5" t="s">
        <v>687</v>
      </c>
      <c r="I37" s="5" t="s">
        <v>837</v>
      </c>
      <c r="J37" s="5" t="s">
        <v>838</v>
      </c>
      <c r="K37" s="5" t="s">
        <v>113</v>
      </c>
      <c r="L37" s="5" t="s">
        <v>113</v>
      </c>
      <c r="M37" s="5" t="s">
        <v>99</v>
      </c>
      <c r="N37" s="5" t="s">
        <v>893</v>
      </c>
      <c r="O37" s="5" t="s">
        <v>841</v>
      </c>
      <c r="P37" s="5" t="s">
        <v>841</v>
      </c>
      <c r="Q37" s="5" t="s">
        <v>691</v>
      </c>
      <c r="R37" s="5" t="s">
        <v>843</v>
      </c>
      <c r="S37" s="7" t="s">
        <v>692</v>
      </c>
    </row>
    <row r="38" spans="1:19" ht="44" customHeight="1">
      <c r="A38" s="5" t="s">
        <v>12</v>
      </c>
      <c r="B38" s="5" t="s">
        <v>944</v>
      </c>
      <c r="C38" s="5" t="s">
        <v>945</v>
      </c>
      <c r="D38" s="6">
        <v>300000000</v>
      </c>
      <c r="E38" s="8">
        <v>46189.628472222219</v>
      </c>
      <c r="F38" s="16">
        <v>46203.416666666657</v>
      </c>
      <c r="G38" s="5" t="s">
        <v>27</v>
      </c>
      <c r="H38" s="5" t="s">
        <v>113</v>
      </c>
      <c r="I38" s="5" t="s">
        <v>847</v>
      </c>
      <c r="J38" s="5" t="s">
        <v>848</v>
      </c>
      <c r="K38" s="5" t="s">
        <v>946</v>
      </c>
      <c r="L38" s="5" t="s">
        <v>113</v>
      </c>
      <c r="M38" s="5" t="s">
        <v>853</v>
      </c>
      <c r="N38" s="5" t="s">
        <v>839</v>
      </c>
      <c r="O38" s="5" t="s">
        <v>840</v>
      </c>
      <c r="P38" s="5" t="s">
        <v>947</v>
      </c>
      <c r="Q38" s="5" t="s">
        <v>842</v>
      </c>
      <c r="R38" s="5" t="s">
        <v>948</v>
      </c>
      <c r="S38" s="7" t="s">
        <v>949</v>
      </c>
    </row>
    <row r="39" spans="1:19" ht="44" customHeight="1">
      <c r="A39" s="5" t="s">
        <v>12</v>
      </c>
      <c r="B39" s="5" t="s">
        <v>29</v>
      </c>
      <c r="C39" s="5" t="s">
        <v>30</v>
      </c>
      <c r="D39" s="6">
        <v>300000000</v>
      </c>
      <c r="E39" s="8">
        <v>46206.703472222223</v>
      </c>
      <c r="F39" s="16">
        <v>46217.416666666657</v>
      </c>
      <c r="G39" s="5" t="s">
        <v>27</v>
      </c>
      <c r="H39" s="5" t="s">
        <v>113</v>
      </c>
      <c r="I39" s="5" t="s">
        <v>847</v>
      </c>
      <c r="J39" s="5" t="s">
        <v>848</v>
      </c>
      <c r="K39" s="5" t="s">
        <v>946</v>
      </c>
      <c r="L39" s="5" t="s">
        <v>113</v>
      </c>
      <c r="M39" s="5" t="s">
        <v>853</v>
      </c>
      <c r="N39" s="5" t="s">
        <v>839</v>
      </c>
      <c r="O39" s="5" t="s">
        <v>840</v>
      </c>
      <c r="P39" s="5" t="s">
        <v>947</v>
      </c>
      <c r="Q39" s="5" t="s">
        <v>842</v>
      </c>
      <c r="R39" s="5" t="s">
        <v>843</v>
      </c>
      <c r="S39" s="7" t="s">
        <v>950</v>
      </c>
    </row>
    <row r="40" spans="1:19" ht="44" customHeight="1">
      <c r="A40" s="5" t="s">
        <v>12</v>
      </c>
      <c r="B40" s="5" t="s">
        <v>951</v>
      </c>
      <c r="C40" s="5" t="s">
        <v>952</v>
      </c>
      <c r="D40" s="6">
        <v>65340000</v>
      </c>
      <c r="E40" s="8">
        <v>46213.474999999999</v>
      </c>
      <c r="F40" s="16">
        <v>46224.4375</v>
      </c>
      <c r="G40" s="5" t="s">
        <v>27</v>
      </c>
      <c r="H40" s="5" t="s">
        <v>113</v>
      </c>
      <c r="I40" s="17" t="s">
        <v>851</v>
      </c>
      <c r="J40" s="5" t="s">
        <v>852</v>
      </c>
      <c r="K40" s="5" t="s">
        <v>113</v>
      </c>
      <c r="L40" s="5" t="s">
        <v>113</v>
      </c>
      <c r="M40" s="5" t="s">
        <v>853</v>
      </c>
      <c r="N40" s="5" t="s">
        <v>839</v>
      </c>
      <c r="O40" s="5" t="s">
        <v>840</v>
      </c>
      <c r="P40" s="5" t="s">
        <v>953</v>
      </c>
      <c r="Q40" s="5" t="s">
        <v>362</v>
      </c>
      <c r="R40" s="5" t="s">
        <v>843</v>
      </c>
      <c r="S40" s="7" t="s">
        <v>954</v>
      </c>
    </row>
    <row r="42" spans="1:19" ht="24" customHeight="1">
      <c r="A42" s="23" t="s">
        <v>955</v>
      </c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</row>
    <row r="43" spans="1:19" ht="36" customHeight="1">
      <c r="A43" s="4" t="s">
        <v>6</v>
      </c>
      <c r="B43" s="4" t="s">
        <v>17</v>
      </c>
      <c r="C43" s="4" t="s">
        <v>18</v>
      </c>
      <c r="D43" s="4" t="s">
        <v>19</v>
      </c>
      <c r="E43" s="4" t="s">
        <v>21</v>
      </c>
      <c r="F43" s="4" t="s">
        <v>27</v>
      </c>
      <c r="G43" s="4" t="s">
        <v>22</v>
      </c>
      <c r="H43" s="4" t="s">
        <v>824</v>
      </c>
      <c r="I43" s="4" t="s">
        <v>825</v>
      </c>
      <c r="J43" s="4" t="s">
        <v>826</v>
      </c>
      <c r="K43" s="4" t="s">
        <v>827</v>
      </c>
      <c r="L43" s="4" t="s">
        <v>828</v>
      </c>
      <c r="M43" s="4" t="s">
        <v>829</v>
      </c>
      <c r="N43" s="4" t="s">
        <v>830</v>
      </c>
      <c r="O43" s="4" t="s">
        <v>831</v>
      </c>
      <c r="P43" s="4" t="s">
        <v>832</v>
      </c>
      <c r="Q43" s="4" t="s">
        <v>358</v>
      </c>
      <c r="R43" s="4" t="s">
        <v>833</v>
      </c>
      <c r="S43" s="4" t="s">
        <v>834</v>
      </c>
    </row>
    <row r="44" spans="1:19" ht="44" customHeight="1">
      <c r="A44" s="5" t="s">
        <v>13</v>
      </c>
      <c r="B44" s="5" t="s">
        <v>956</v>
      </c>
      <c r="C44" s="5" t="s">
        <v>568</v>
      </c>
      <c r="D44" s="6">
        <v>191929400</v>
      </c>
      <c r="E44" s="8">
        <v>46217.415277777778</v>
      </c>
      <c r="F44" s="16">
        <v>46239.416666666657</v>
      </c>
      <c r="G44" s="9" t="s">
        <v>3</v>
      </c>
      <c r="H44" s="5" t="s">
        <v>113</v>
      </c>
      <c r="I44" s="5" t="s">
        <v>847</v>
      </c>
      <c r="J44" s="5" t="s">
        <v>848</v>
      </c>
      <c r="K44" s="5" t="s">
        <v>942</v>
      </c>
      <c r="L44" s="5" t="s">
        <v>872</v>
      </c>
      <c r="M44" s="5" t="s">
        <v>853</v>
      </c>
      <c r="N44" s="5" t="s">
        <v>893</v>
      </c>
      <c r="O44" s="5" t="s">
        <v>840</v>
      </c>
      <c r="P44" s="5" t="s">
        <v>873</v>
      </c>
      <c r="Q44" s="5" t="s">
        <v>362</v>
      </c>
      <c r="R44" s="5" t="s">
        <v>843</v>
      </c>
      <c r="S44" s="7" t="s">
        <v>957</v>
      </c>
    </row>
    <row r="45" spans="1:19" ht="44" customHeight="1">
      <c r="A45" s="5" t="s">
        <v>13</v>
      </c>
      <c r="B45" s="5" t="s">
        <v>43</v>
      </c>
      <c r="C45" s="5" t="s">
        <v>44</v>
      </c>
      <c r="D45" s="6">
        <v>54700000</v>
      </c>
      <c r="E45" s="8">
        <v>46217.436805555553</v>
      </c>
      <c r="F45" s="16">
        <v>46230.5</v>
      </c>
      <c r="G45" s="9" t="s">
        <v>3</v>
      </c>
      <c r="H45" s="5" t="s">
        <v>113</v>
      </c>
      <c r="I45" s="5" t="s">
        <v>847</v>
      </c>
      <c r="J45" s="5" t="s">
        <v>848</v>
      </c>
      <c r="K45" s="5" t="s">
        <v>942</v>
      </c>
      <c r="L45" s="5" t="s">
        <v>872</v>
      </c>
      <c r="M45" s="5" t="s">
        <v>853</v>
      </c>
      <c r="N45" s="5" t="s">
        <v>839</v>
      </c>
      <c r="O45" s="5" t="s">
        <v>840</v>
      </c>
      <c r="P45" s="5" t="s">
        <v>841</v>
      </c>
      <c r="Q45" s="5" t="s">
        <v>362</v>
      </c>
      <c r="R45" s="5" t="s">
        <v>958</v>
      </c>
      <c r="S45" s="7" t="s">
        <v>959</v>
      </c>
    </row>
    <row r="46" spans="1:19" ht="44" customHeight="1">
      <c r="A46" s="5" t="s">
        <v>13</v>
      </c>
      <c r="B46" s="5" t="s">
        <v>960</v>
      </c>
      <c r="C46" s="5" t="s">
        <v>961</v>
      </c>
      <c r="D46" s="6">
        <v>257000000</v>
      </c>
      <c r="E46" s="8">
        <v>46219.69027777778</v>
      </c>
      <c r="F46" s="16">
        <v>46231.708333333343</v>
      </c>
      <c r="G46" s="9" t="s">
        <v>3</v>
      </c>
      <c r="H46" s="5" t="s">
        <v>113</v>
      </c>
      <c r="I46" s="17" t="s">
        <v>851</v>
      </c>
      <c r="J46" s="5" t="s">
        <v>852</v>
      </c>
      <c r="K46" s="5" t="s">
        <v>113</v>
      </c>
      <c r="L46" s="5" t="s">
        <v>113</v>
      </c>
      <c r="M46" s="5" t="s">
        <v>853</v>
      </c>
      <c r="N46" s="5" t="s">
        <v>839</v>
      </c>
      <c r="O46" s="5" t="s">
        <v>840</v>
      </c>
      <c r="P46" s="5" t="s">
        <v>841</v>
      </c>
      <c r="Q46" s="5" t="s">
        <v>362</v>
      </c>
      <c r="R46" s="5" t="s">
        <v>962</v>
      </c>
      <c r="S46" s="7" t="s">
        <v>963</v>
      </c>
    </row>
    <row r="47" spans="1:19" ht="44" customHeight="1">
      <c r="A47" s="5" t="s">
        <v>13</v>
      </c>
      <c r="B47" s="5" t="s">
        <v>964</v>
      </c>
      <c r="C47" s="5" t="s">
        <v>965</v>
      </c>
      <c r="D47" s="6">
        <v>40000000</v>
      </c>
      <c r="E47" s="8">
        <v>46072.372916666667</v>
      </c>
      <c r="F47" s="16">
        <v>46079.583333333343</v>
      </c>
      <c r="G47" s="5" t="s">
        <v>27</v>
      </c>
      <c r="H47" s="5" t="s">
        <v>113</v>
      </c>
      <c r="I47" s="5" t="s">
        <v>837</v>
      </c>
      <c r="J47" s="5" t="s">
        <v>838</v>
      </c>
      <c r="K47" s="5" t="s">
        <v>113</v>
      </c>
      <c r="L47" s="5" t="s">
        <v>113</v>
      </c>
      <c r="M47" s="5" t="s">
        <v>99</v>
      </c>
      <c r="N47" s="5" t="s">
        <v>839</v>
      </c>
      <c r="O47" s="5" t="s">
        <v>841</v>
      </c>
      <c r="P47" s="5" t="s">
        <v>841</v>
      </c>
      <c r="Q47" s="5" t="s">
        <v>372</v>
      </c>
      <c r="R47" s="5" t="s">
        <v>966</v>
      </c>
      <c r="S47" s="7" t="s">
        <v>967</v>
      </c>
    </row>
    <row r="48" spans="1:19" ht="44" customHeight="1">
      <c r="A48" s="5" t="s">
        <v>13</v>
      </c>
      <c r="B48" s="5" t="s">
        <v>964</v>
      </c>
      <c r="C48" s="5" t="s">
        <v>965</v>
      </c>
      <c r="D48" s="6">
        <v>40000000</v>
      </c>
      <c r="E48" s="8">
        <v>46079.711111111108</v>
      </c>
      <c r="F48" s="16">
        <v>46086.625</v>
      </c>
      <c r="G48" s="5" t="s">
        <v>27</v>
      </c>
      <c r="H48" s="5" t="s">
        <v>113</v>
      </c>
      <c r="I48" s="17" t="s">
        <v>851</v>
      </c>
      <c r="J48" s="5" t="s">
        <v>852</v>
      </c>
      <c r="K48" s="5" t="s">
        <v>113</v>
      </c>
      <c r="L48" s="5" t="s">
        <v>113</v>
      </c>
      <c r="M48" s="5" t="s">
        <v>113</v>
      </c>
      <c r="N48" s="5" t="s">
        <v>839</v>
      </c>
      <c r="O48" s="5" t="s">
        <v>113</v>
      </c>
      <c r="P48" s="5" t="s">
        <v>841</v>
      </c>
      <c r="Q48" s="5" t="s">
        <v>372</v>
      </c>
      <c r="R48" s="5" t="s">
        <v>874</v>
      </c>
      <c r="S48" s="7" t="s">
        <v>968</v>
      </c>
    </row>
    <row r="49" spans="1:19" ht="44" customHeight="1">
      <c r="A49" s="5" t="s">
        <v>13</v>
      </c>
      <c r="B49" s="5" t="s">
        <v>742</v>
      </c>
      <c r="C49" s="5" t="s">
        <v>642</v>
      </c>
      <c r="D49" s="6">
        <v>395770000</v>
      </c>
      <c r="E49" s="8">
        <v>46084.581944444442</v>
      </c>
      <c r="F49" s="16">
        <v>46097.625</v>
      </c>
      <c r="G49" s="5" t="s">
        <v>27</v>
      </c>
      <c r="H49" s="5" t="s">
        <v>969</v>
      </c>
      <c r="I49" s="5" t="s">
        <v>847</v>
      </c>
      <c r="J49" s="5" t="s">
        <v>848</v>
      </c>
      <c r="K49" s="5" t="s">
        <v>942</v>
      </c>
      <c r="L49" s="5" t="s">
        <v>872</v>
      </c>
      <c r="M49" s="5" t="s">
        <v>853</v>
      </c>
      <c r="N49" s="5" t="s">
        <v>839</v>
      </c>
      <c r="O49" s="5" t="s">
        <v>840</v>
      </c>
      <c r="P49" s="5" t="s">
        <v>841</v>
      </c>
      <c r="Q49" s="5" t="s">
        <v>372</v>
      </c>
      <c r="R49" s="5" t="s">
        <v>970</v>
      </c>
      <c r="S49" s="7" t="s">
        <v>743</v>
      </c>
    </row>
    <row r="50" spans="1:19" ht="44" customHeight="1">
      <c r="A50" s="5" t="s">
        <v>13</v>
      </c>
      <c r="B50" s="5" t="s">
        <v>573</v>
      </c>
      <c r="C50" s="5" t="s">
        <v>574</v>
      </c>
      <c r="D50" s="6">
        <v>337899320</v>
      </c>
      <c r="E50" s="8">
        <v>46092.643750000003</v>
      </c>
      <c r="F50" s="16">
        <v>46106.416666666657</v>
      </c>
      <c r="G50" s="5" t="s">
        <v>27</v>
      </c>
      <c r="H50" s="5" t="s">
        <v>971</v>
      </c>
      <c r="I50" s="5" t="s">
        <v>847</v>
      </c>
      <c r="J50" s="5" t="s">
        <v>848</v>
      </c>
      <c r="K50" s="5" t="s">
        <v>942</v>
      </c>
      <c r="L50" s="5" t="s">
        <v>872</v>
      </c>
      <c r="M50" s="5" t="s">
        <v>853</v>
      </c>
      <c r="N50" s="5" t="s">
        <v>839</v>
      </c>
      <c r="O50" s="5" t="s">
        <v>840</v>
      </c>
      <c r="P50" s="5" t="s">
        <v>841</v>
      </c>
      <c r="Q50" s="5" t="s">
        <v>372</v>
      </c>
      <c r="R50" s="5" t="s">
        <v>843</v>
      </c>
      <c r="S50" s="7" t="s">
        <v>575</v>
      </c>
    </row>
    <row r="51" spans="1:19" ht="44" customHeight="1">
      <c r="A51" s="5" t="s">
        <v>13</v>
      </c>
      <c r="B51" s="5" t="s">
        <v>972</v>
      </c>
      <c r="C51" s="5" t="s">
        <v>368</v>
      </c>
      <c r="D51" s="6">
        <v>123000000</v>
      </c>
      <c r="E51" s="8">
        <v>46094.459027777782</v>
      </c>
      <c r="F51" s="16">
        <v>46105.666666666657</v>
      </c>
      <c r="G51" s="5" t="s">
        <v>27</v>
      </c>
      <c r="H51" s="5" t="s">
        <v>113</v>
      </c>
      <c r="I51" s="5" t="s">
        <v>847</v>
      </c>
      <c r="J51" s="5" t="s">
        <v>848</v>
      </c>
      <c r="K51" s="5" t="s">
        <v>973</v>
      </c>
      <c r="L51" s="5" t="s">
        <v>872</v>
      </c>
      <c r="M51" s="5" t="s">
        <v>853</v>
      </c>
      <c r="N51" s="5" t="s">
        <v>839</v>
      </c>
      <c r="O51" s="5" t="s">
        <v>840</v>
      </c>
      <c r="P51" s="5" t="s">
        <v>841</v>
      </c>
      <c r="Q51" s="5" t="s">
        <v>372</v>
      </c>
      <c r="R51" s="5" t="s">
        <v>974</v>
      </c>
      <c r="S51" s="7" t="s">
        <v>975</v>
      </c>
    </row>
    <row r="52" spans="1:19" ht="44" customHeight="1">
      <c r="A52" s="5" t="s">
        <v>13</v>
      </c>
      <c r="B52" s="5" t="s">
        <v>976</v>
      </c>
      <c r="C52" s="5" t="s">
        <v>977</v>
      </c>
      <c r="D52" s="6">
        <v>231050400</v>
      </c>
      <c r="E52" s="8">
        <v>46111.443055555559</v>
      </c>
      <c r="F52" s="16">
        <v>46127.416666666657</v>
      </c>
      <c r="G52" s="5" t="s">
        <v>27</v>
      </c>
      <c r="H52" s="5" t="s">
        <v>978</v>
      </c>
      <c r="I52" s="5" t="s">
        <v>847</v>
      </c>
      <c r="J52" s="5" t="s">
        <v>848</v>
      </c>
      <c r="K52" s="5" t="s">
        <v>942</v>
      </c>
      <c r="L52" s="5" t="s">
        <v>872</v>
      </c>
      <c r="M52" s="5" t="s">
        <v>853</v>
      </c>
      <c r="N52" s="5" t="s">
        <v>893</v>
      </c>
      <c r="O52" s="5" t="s">
        <v>840</v>
      </c>
      <c r="P52" s="5" t="s">
        <v>841</v>
      </c>
      <c r="Q52" s="5" t="s">
        <v>372</v>
      </c>
      <c r="R52" s="5" t="s">
        <v>843</v>
      </c>
      <c r="S52" s="7" t="s">
        <v>979</v>
      </c>
    </row>
    <row r="53" spans="1:19" ht="44" customHeight="1">
      <c r="A53" s="5" t="s">
        <v>13</v>
      </c>
      <c r="B53" s="5" t="s">
        <v>980</v>
      </c>
      <c r="C53" s="5" t="s">
        <v>981</v>
      </c>
      <c r="D53" s="6">
        <v>17000000</v>
      </c>
      <c r="E53" s="8">
        <v>46122.425694444442</v>
      </c>
      <c r="F53" s="16">
        <v>46133.458333333343</v>
      </c>
      <c r="G53" s="5" t="s">
        <v>27</v>
      </c>
      <c r="H53" s="5" t="s">
        <v>113</v>
      </c>
      <c r="I53" s="5" t="s">
        <v>847</v>
      </c>
      <c r="J53" s="5" t="s">
        <v>848</v>
      </c>
      <c r="K53" s="5" t="s">
        <v>113</v>
      </c>
      <c r="L53" s="5" t="s">
        <v>872</v>
      </c>
      <c r="M53" s="5" t="s">
        <v>99</v>
      </c>
      <c r="N53" s="5" t="s">
        <v>839</v>
      </c>
      <c r="O53" s="5" t="s">
        <v>840</v>
      </c>
      <c r="P53" s="5" t="s">
        <v>841</v>
      </c>
      <c r="Q53" s="5" t="s">
        <v>842</v>
      </c>
      <c r="R53" s="5" t="s">
        <v>982</v>
      </c>
      <c r="S53" s="7" t="s">
        <v>983</v>
      </c>
    </row>
    <row r="54" spans="1:19" ht="44" customHeight="1">
      <c r="A54" s="5" t="s">
        <v>13</v>
      </c>
      <c r="B54" s="5" t="s">
        <v>984</v>
      </c>
      <c r="C54" s="5" t="s">
        <v>892</v>
      </c>
      <c r="D54" s="6">
        <v>359000000</v>
      </c>
      <c r="E54" s="8">
        <v>46125.452777777777</v>
      </c>
      <c r="F54" s="16">
        <v>46140.452777777777</v>
      </c>
      <c r="G54" s="5" t="s">
        <v>27</v>
      </c>
      <c r="H54" s="5" t="s">
        <v>113</v>
      </c>
      <c r="I54" s="17" t="s">
        <v>851</v>
      </c>
      <c r="J54" s="5" t="s">
        <v>852</v>
      </c>
      <c r="K54" s="5" t="s">
        <v>113</v>
      </c>
      <c r="L54" s="5" t="s">
        <v>113</v>
      </c>
      <c r="M54" s="5" t="s">
        <v>853</v>
      </c>
      <c r="N54" s="5" t="s">
        <v>893</v>
      </c>
      <c r="O54" s="5" t="s">
        <v>840</v>
      </c>
      <c r="P54" s="5" t="s">
        <v>841</v>
      </c>
      <c r="Q54" s="5" t="s">
        <v>362</v>
      </c>
      <c r="R54" s="5" t="s">
        <v>843</v>
      </c>
      <c r="S54" s="7" t="s">
        <v>985</v>
      </c>
    </row>
    <row r="55" spans="1:19" ht="44" customHeight="1">
      <c r="A55" s="5" t="s">
        <v>13</v>
      </c>
      <c r="B55" s="5" t="s">
        <v>986</v>
      </c>
      <c r="C55" s="5" t="s">
        <v>987</v>
      </c>
      <c r="D55" s="6">
        <v>45000000</v>
      </c>
      <c r="E55" s="8">
        <v>46126.574999999997</v>
      </c>
      <c r="F55" s="16">
        <v>46140.583333333343</v>
      </c>
      <c r="G55" s="5" t="s">
        <v>27</v>
      </c>
      <c r="H55" s="5" t="s">
        <v>988</v>
      </c>
      <c r="I55" s="5" t="s">
        <v>847</v>
      </c>
      <c r="J55" s="5" t="s">
        <v>848</v>
      </c>
      <c r="K55" s="5" t="s">
        <v>989</v>
      </c>
      <c r="L55" s="5" t="s">
        <v>113</v>
      </c>
      <c r="M55" s="5" t="s">
        <v>853</v>
      </c>
      <c r="N55" s="5" t="s">
        <v>839</v>
      </c>
      <c r="O55" s="5" t="s">
        <v>113</v>
      </c>
      <c r="P55" s="5" t="s">
        <v>841</v>
      </c>
      <c r="Q55" s="5" t="s">
        <v>362</v>
      </c>
      <c r="R55" s="5" t="s">
        <v>843</v>
      </c>
      <c r="S55" s="7" t="s">
        <v>990</v>
      </c>
    </row>
    <row r="56" spans="1:19" ht="44" customHeight="1">
      <c r="A56" s="5" t="s">
        <v>13</v>
      </c>
      <c r="B56" s="5" t="s">
        <v>693</v>
      </c>
      <c r="C56" s="5" t="s">
        <v>694</v>
      </c>
      <c r="D56" s="6">
        <v>44000000</v>
      </c>
      <c r="E56" s="8">
        <v>46128.722916666673</v>
      </c>
      <c r="F56" s="16">
        <v>46133.708333333343</v>
      </c>
      <c r="G56" s="5" t="s">
        <v>27</v>
      </c>
      <c r="H56" s="5" t="s">
        <v>687</v>
      </c>
      <c r="I56" s="17" t="s">
        <v>851</v>
      </c>
      <c r="J56" s="5" t="s">
        <v>852</v>
      </c>
      <c r="K56" s="5" t="s">
        <v>113</v>
      </c>
      <c r="L56" s="5" t="s">
        <v>113</v>
      </c>
      <c r="M56" s="5" t="s">
        <v>113</v>
      </c>
      <c r="N56" s="5" t="s">
        <v>839</v>
      </c>
      <c r="O56" s="5" t="s">
        <v>113</v>
      </c>
      <c r="P56" s="5" t="s">
        <v>841</v>
      </c>
      <c r="Q56" s="5" t="s">
        <v>695</v>
      </c>
      <c r="R56" s="5" t="s">
        <v>874</v>
      </c>
      <c r="S56" s="7" t="s">
        <v>696</v>
      </c>
    </row>
    <row r="57" spans="1:19" ht="44" customHeight="1">
      <c r="A57" s="5" t="s">
        <v>13</v>
      </c>
      <c r="B57" s="5" t="s">
        <v>991</v>
      </c>
      <c r="C57" s="5" t="s">
        <v>726</v>
      </c>
      <c r="D57" s="6">
        <v>99956400</v>
      </c>
      <c r="E57" s="8">
        <v>46132.584722222222</v>
      </c>
      <c r="F57" s="16">
        <v>46149.416666666657</v>
      </c>
      <c r="G57" s="5" t="s">
        <v>27</v>
      </c>
      <c r="H57" s="5" t="s">
        <v>992</v>
      </c>
      <c r="I57" s="5" t="s">
        <v>847</v>
      </c>
      <c r="J57" s="5" t="s">
        <v>848</v>
      </c>
      <c r="K57" s="5" t="s">
        <v>942</v>
      </c>
      <c r="L57" s="5" t="s">
        <v>872</v>
      </c>
      <c r="M57" s="5" t="s">
        <v>853</v>
      </c>
      <c r="N57" s="5" t="s">
        <v>893</v>
      </c>
      <c r="O57" s="5" t="s">
        <v>840</v>
      </c>
      <c r="P57" s="5" t="s">
        <v>841</v>
      </c>
      <c r="Q57" s="5" t="s">
        <v>362</v>
      </c>
      <c r="R57" s="5" t="s">
        <v>993</v>
      </c>
      <c r="S57" s="7" t="s">
        <v>994</v>
      </c>
    </row>
    <row r="58" spans="1:19" ht="44" customHeight="1">
      <c r="A58" s="5" t="s">
        <v>13</v>
      </c>
      <c r="B58" s="5" t="s">
        <v>995</v>
      </c>
      <c r="C58" s="5" t="s">
        <v>965</v>
      </c>
      <c r="D58" s="6">
        <v>66000000</v>
      </c>
      <c r="E58" s="8">
        <v>46136.407638888893</v>
      </c>
      <c r="F58" s="16">
        <v>46151.407638888893</v>
      </c>
      <c r="G58" s="5" t="s">
        <v>27</v>
      </c>
      <c r="H58" s="5" t="s">
        <v>113</v>
      </c>
      <c r="I58" s="5" t="s">
        <v>837</v>
      </c>
      <c r="J58" s="5" t="s">
        <v>838</v>
      </c>
      <c r="K58" s="5" t="s">
        <v>113</v>
      </c>
      <c r="L58" s="5" t="s">
        <v>113</v>
      </c>
      <c r="M58" s="5" t="s">
        <v>99</v>
      </c>
      <c r="N58" s="5" t="s">
        <v>839</v>
      </c>
      <c r="O58" s="5" t="s">
        <v>840</v>
      </c>
      <c r="P58" s="5" t="s">
        <v>841</v>
      </c>
      <c r="Q58" s="5" t="s">
        <v>362</v>
      </c>
      <c r="R58" s="5" t="s">
        <v>996</v>
      </c>
      <c r="S58" s="7" t="s">
        <v>997</v>
      </c>
    </row>
    <row r="59" spans="1:19" ht="44" customHeight="1">
      <c r="A59" s="5" t="s">
        <v>13</v>
      </c>
      <c r="B59" s="5" t="s">
        <v>998</v>
      </c>
      <c r="C59" s="5" t="s">
        <v>409</v>
      </c>
      <c r="D59" s="6">
        <v>39938000</v>
      </c>
      <c r="E59" s="8">
        <v>46140.382638888892</v>
      </c>
      <c r="F59" s="16">
        <v>46155.382638888892</v>
      </c>
      <c r="G59" s="5" t="s">
        <v>27</v>
      </c>
      <c r="H59" s="5" t="s">
        <v>999</v>
      </c>
      <c r="I59" s="5" t="s">
        <v>847</v>
      </c>
      <c r="J59" s="5" t="s">
        <v>848</v>
      </c>
      <c r="K59" s="5" t="s">
        <v>942</v>
      </c>
      <c r="L59" s="5" t="s">
        <v>872</v>
      </c>
      <c r="M59" s="5" t="s">
        <v>853</v>
      </c>
      <c r="N59" s="5" t="s">
        <v>839</v>
      </c>
      <c r="O59" s="5" t="s">
        <v>840</v>
      </c>
      <c r="P59" s="5" t="s">
        <v>953</v>
      </c>
      <c r="Q59" s="5" t="s">
        <v>362</v>
      </c>
      <c r="R59" s="5" t="s">
        <v>843</v>
      </c>
      <c r="S59" s="7" t="s">
        <v>1000</v>
      </c>
    </row>
    <row r="60" spans="1:19" ht="44" customHeight="1">
      <c r="A60" s="5" t="s">
        <v>13</v>
      </c>
      <c r="B60" s="5" t="s">
        <v>980</v>
      </c>
      <c r="C60" s="5" t="s">
        <v>981</v>
      </c>
      <c r="D60" s="6">
        <v>17000000</v>
      </c>
      <c r="E60" s="8">
        <v>46140.415972222218</v>
      </c>
      <c r="F60" s="16">
        <v>46150.458333333343</v>
      </c>
      <c r="G60" s="5" t="s">
        <v>27</v>
      </c>
      <c r="H60" s="5" t="s">
        <v>113</v>
      </c>
      <c r="I60" s="5" t="s">
        <v>847</v>
      </c>
      <c r="J60" s="5" t="s">
        <v>848</v>
      </c>
      <c r="K60" s="5" t="s">
        <v>113</v>
      </c>
      <c r="L60" s="5" t="s">
        <v>872</v>
      </c>
      <c r="M60" s="5" t="s">
        <v>99</v>
      </c>
      <c r="N60" s="5" t="s">
        <v>839</v>
      </c>
      <c r="O60" s="5" t="s">
        <v>840</v>
      </c>
      <c r="P60" s="5" t="s">
        <v>841</v>
      </c>
      <c r="Q60" s="5" t="s">
        <v>842</v>
      </c>
      <c r="R60" s="5" t="s">
        <v>1001</v>
      </c>
      <c r="S60" s="7" t="s">
        <v>1002</v>
      </c>
    </row>
    <row r="61" spans="1:19" ht="44" customHeight="1">
      <c r="A61" s="5" t="s">
        <v>13</v>
      </c>
      <c r="B61" s="5" t="s">
        <v>1003</v>
      </c>
      <c r="C61" s="5" t="s">
        <v>892</v>
      </c>
      <c r="D61" s="6">
        <v>51000000</v>
      </c>
      <c r="E61" s="8">
        <v>46140.448611111111</v>
      </c>
      <c r="F61" s="16">
        <v>46155.448611111111</v>
      </c>
      <c r="G61" s="5" t="s">
        <v>27</v>
      </c>
      <c r="H61" s="5" t="s">
        <v>113</v>
      </c>
      <c r="I61" s="17" t="s">
        <v>851</v>
      </c>
      <c r="J61" s="5" t="s">
        <v>852</v>
      </c>
      <c r="K61" s="5" t="s">
        <v>113</v>
      </c>
      <c r="L61" s="5" t="s">
        <v>113</v>
      </c>
      <c r="M61" s="5" t="s">
        <v>853</v>
      </c>
      <c r="N61" s="5" t="s">
        <v>839</v>
      </c>
      <c r="O61" s="5" t="s">
        <v>840</v>
      </c>
      <c r="P61" s="5" t="s">
        <v>841</v>
      </c>
      <c r="Q61" s="5" t="s">
        <v>362</v>
      </c>
      <c r="R61" s="5" t="s">
        <v>1004</v>
      </c>
      <c r="S61" s="7" t="s">
        <v>1005</v>
      </c>
    </row>
    <row r="62" spans="1:19" ht="44" customHeight="1">
      <c r="A62" s="5" t="s">
        <v>13</v>
      </c>
      <c r="B62" s="5" t="s">
        <v>1006</v>
      </c>
      <c r="C62" s="5" t="s">
        <v>892</v>
      </c>
      <c r="D62" s="6">
        <v>359000000</v>
      </c>
      <c r="E62" s="8">
        <v>46142.711805555547</v>
      </c>
      <c r="F62" s="16">
        <v>46157.711805555547</v>
      </c>
      <c r="G62" s="5" t="s">
        <v>27</v>
      </c>
      <c r="H62" s="5" t="s">
        <v>113</v>
      </c>
      <c r="I62" s="17" t="s">
        <v>851</v>
      </c>
      <c r="J62" s="5" t="s">
        <v>852</v>
      </c>
      <c r="K62" s="5" t="s">
        <v>113</v>
      </c>
      <c r="L62" s="5" t="s">
        <v>113</v>
      </c>
      <c r="M62" s="5" t="s">
        <v>853</v>
      </c>
      <c r="N62" s="5" t="s">
        <v>893</v>
      </c>
      <c r="O62" s="5" t="s">
        <v>840</v>
      </c>
      <c r="P62" s="5" t="s">
        <v>841</v>
      </c>
      <c r="Q62" s="5" t="s">
        <v>362</v>
      </c>
      <c r="R62" s="5" t="s">
        <v>1007</v>
      </c>
      <c r="S62" s="7" t="s">
        <v>1008</v>
      </c>
    </row>
    <row r="63" spans="1:19" ht="44" customHeight="1">
      <c r="A63" s="5" t="s">
        <v>13</v>
      </c>
      <c r="B63" s="5" t="s">
        <v>1009</v>
      </c>
      <c r="C63" s="5" t="s">
        <v>1010</v>
      </c>
      <c r="D63" s="6">
        <v>85000000</v>
      </c>
      <c r="E63" s="8">
        <v>46157.395138888889</v>
      </c>
      <c r="F63" s="16">
        <v>46168.416666666657</v>
      </c>
      <c r="G63" s="5" t="s">
        <v>27</v>
      </c>
      <c r="H63" s="5" t="s">
        <v>1011</v>
      </c>
      <c r="I63" s="5" t="s">
        <v>847</v>
      </c>
      <c r="J63" s="5" t="s">
        <v>848</v>
      </c>
      <c r="K63" s="5" t="s">
        <v>942</v>
      </c>
      <c r="L63" s="5" t="s">
        <v>872</v>
      </c>
      <c r="M63" s="5" t="s">
        <v>853</v>
      </c>
      <c r="N63" s="5" t="s">
        <v>839</v>
      </c>
      <c r="O63" s="5" t="s">
        <v>840</v>
      </c>
      <c r="P63" s="5" t="s">
        <v>841</v>
      </c>
      <c r="Q63" s="5" t="s">
        <v>1012</v>
      </c>
      <c r="R63" s="5" t="s">
        <v>843</v>
      </c>
      <c r="S63" s="7" t="s">
        <v>1013</v>
      </c>
    </row>
    <row r="64" spans="1:19" ht="44" customHeight="1">
      <c r="A64" s="5" t="s">
        <v>13</v>
      </c>
      <c r="B64" s="5" t="s">
        <v>360</v>
      </c>
      <c r="C64" s="5" t="s">
        <v>361</v>
      </c>
      <c r="D64" s="6">
        <v>151450000</v>
      </c>
      <c r="E64" s="8">
        <v>46163.655555555553</v>
      </c>
      <c r="F64" s="16">
        <v>46175.416666666657</v>
      </c>
      <c r="G64" s="5" t="s">
        <v>27</v>
      </c>
      <c r="H64" s="5" t="s">
        <v>1014</v>
      </c>
      <c r="I64" s="5" t="s">
        <v>847</v>
      </c>
      <c r="J64" s="5" t="s">
        <v>848</v>
      </c>
      <c r="K64" s="5" t="s">
        <v>868</v>
      </c>
      <c r="L64" s="5" t="s">
        <v>1015</v>
      </c>
      <c r="M64" s="5" t="s">
        <v>853</v>
      </c>
      <c r="N64" s="5" t="s">
        <v>893</v>
      </c>
      <c r="O64" s="5" t="s">
        <v>840</v>
      </c>
      <c r="P64" s="5" t="s">
        <v>841</v>
      </c>
      <c r="Q64" s="5" t="s">
        <v>362</v>
      </c>
      <c r="R64" s="5" t="s">
        <v>1016</v>
      </c>
      <c r="S64" s="7" t="s">
        <v>363</v>
      </c>
    </row>
    <row r="65" spans="1:19" ht="44" customHeight="1">
      <c r="A65" s="5" t="s">
        <v>13</v>
      </c>
      <c r="B65" s="5" t="s">
        <v>1017</v>
      </c>
      <c r="C65" s="5" t="s">
        <v>361</v>
      </c>
      <c r="D65" s="6">
        <v>232058000</v>
      </c>
      <c r="E65" s="8">
        <v>46168.397916666669</v>
      </c>
      <c r="F65" s="16">
        <v>46189.416666666657</v>
      </c>
      <c r="G65" s="5" t="s">
        <v>27</v>
      </c>
      <c r="H65" s="5" t="s">
        <v>1018</v>
      </c>
      <c r="I65" s="5" t="s">
        <v>847</v>
      </c>
      <c r="J65" s="5" t="s">
        <v>848</v>
      </c>
      <c r="K65" s="5" t="s">
        <v>942</v>
      </c>
      <c r="L65" s="5" t="s">
        <v>872</v>
      </c>
      <c r="M65" s="5" t="s">
        <v>853</v>
      </c>
      <c r="N65" s="5" t="s">
        <v>893</v>
      </c>
      <c r="O65" s="5" t="s">
        <v>840</v>
      </c>
      <c r="P65" s="5" t="s">
        <v>841</v>
      </c>
      <c r="Q65" s="5" t="s">
        <v>362</v>
      </c>
      <c r="R65" s="5" t="s">
        <v>1019</v>
      </c>
      <c r="S65" s="7" t="s">
        <v>1020</v>
      </c>
    </row>
    <row r="66" spans="1:19" ht="44" customHeight="1">
      <c r="A66" s="5" t="s">
        <v>13</v>
      </c>
      <c r="B66" s="5" t="s">
        <v>1021</v>
      </c>
      <c r="C66" s="5" t="s">
        <v>678</v>
      </c>
      <c r="D66" s="6">
        <v>42000000</v>
      </c>
      <c r="E66" s="8">
        <v>46185.39166666667</v>
      </c>
      <c r="F66" s="16">
        <v>46196.416666666657</v>
      </c>
      <c r="G66" s="5" t="s">
        <v>27</v>
      </c>
      <c r="H66" s="5" t="s">
        <v>1022</v>
      </c>
      <c r="I66" s="5" t="s">
        <v>847</v>
      </c>
      <c r="J66" s="5" t="s">
        <v>848</v>
      </c>
      <c r="K66" s="5" t="s">
        <v>942</v>
      </c>
      <c r="L66" s="5" t="s">
        <v>113</v>
      </c>
      <c r="M66" s="5" t="s">
        <v>113</v>
      </c>
      <c r="N66" s="5" t="s">
        <v>839</v>
      </c>
      <c r="O66" s="5" t="s">
        <v>113</v>
      </c>
      <c r="P66" s="5" t="s">
        <v>841</v>
      </c>
      <c r="Q66" s="5" t="s">
        <v>362</v>
      </c>
      <c r="R66" s="5" t="s">
        <v>874</v>
      </c>
      <c r="S66" s="7" t="s">
        <v>1023</v>
      </c>
    </row>
    <row r="67" spans="1:19" ht="44" customHeight="1">
      <c r="A67" s="5" t="s">
        <v>13</v>
      </c>
      <c r="B67" s="5" t="s">
        <v>1024</v>
      </c>
      <c r="C67" s="5" t="s">
        <v>789</v>
      </c>
      <c r="D67" s="6">
        <v>58550000</v>
      </c>
      <c r="E67" s="8">
        <v>46196.386111111111</v>
      </c>
      <c r="F67" s="16">
        <v>46206.625</v>
      </c>
      <c r="G67" s="5" t="s">
        <v>27</v>
      </c>
      <c r="H67" s="5" t="s">
        <v>1025</v>
      </c>
      <c r="I67" s="5" t="s">
        <v>847</v>
      </c>
      <c r="J67" s="5" t="s">
        <v>848</v>
      </c>
      <c r="K67" s="5" t="s">
        <v>942</v>
      </c>
      <c r="L67" s="5" t="s">
        <v>113</v>
      </c>
      <c r="M67" s="5" t="s">
        <v>853</v>
      </c>
      <c r="N67" s="5" t="s">
        <v>839</v>
      </c>
      <c r="O67" s="5" t="s">
        <v>840</v>
      </c>
      <c r="P67" s="5" t="s">
        <v>841</v>
      </c>
      <c r="Q67" s="5" t="s">
        <v>362</v>
      </c>
      <c r="R67" s="5" t="s">
        <v>843</v>
      </c>
      <c r="S67" s="7" t="s">
        <v>1026</v>
      </c>
    </row>
    <row r="68" spans="1:19" ht="44" customHeight="1">
      <c r="A68" s="5" t="s">
        <v>13</v>
      </c>
      <c r="B68" s="5" t="s">
        <v>1027</v>
      </c>
      <c r="C68" s="5" t="s">
        <v>44</v>
      </c>
      <c r="D68" s="6">
        <v>54700000</v>
      </c>
      <c r="E68" s="8">
        <v>46202.683333333327</v>
      </c>
      <c r="F68" s="16">
        <v>46216.708333333343</v>
      </c>
      <c r="G68" s="5" t="s">
        <v>27</v>
      </c>
      <c r="H68" s="5" t="s">
        <v>113</v>
      </c>
      <c r="I68" s="5" t="s">
        <v>847</v>
      </c>
      <c r="J68" s="5" t="s">
        <v>848</v>
      </c>
      <c r="K68" s="5" t="s">
        <v>942</v>
      </c>
      <c r="L68" s="5" t="s">
        <v>872</v>
      </c>
      <c r="M68" s="5" t="s">
        <v>853</v>
      </c>
      <c r="N68" s="5" t="s">
        <v>839</v>
      </c>
      <c r="O68" s="5" t="s">
        <v>840</v>
      </c>
      <c r="P68" s="5" t="s">
        <v>841</v>
      </c>
      <c r="Q68" s="5" t="s">
        <v>362</v>
      </c>
      <c r="R68" s="5" t="s">
        <v>843</v>
      </c>
      <c r="S68" s="7" t="s">
        <v>1028</v>
      </c>
    </row>
    <row r="69" spans="1:19" ht="44" customHeight="1">
      <c r="A69" s="5" t="s">
        <v>13</v>
      </c>
      <c r="B69" s="5" t="s">
        <v>1029</v>
      </c>
      <c r="C69" s="5" t="s">
        <v>1030</v>
      </c>
      <c r="D69" s="6">
        <v>45100000</v>
      </c>
      <c r="E69" s="8">
        <v>46210.415972222218</v>
      </c>
      <c r="F69" s="16">
        <v>46224.416666666657</v>
      </c>
      <c r="G69" s="5" t="s">
        <v>27</v>
      </c>
      <c r="H69" s="5" t="s">
        <v>113</v>
      </c>
      <c r="I69" s="5" t="s">
        <v>847</v>
      </c>
      <c r="J69" s="5" t="s">
        <v>848</v>
      </c>
      <c r="K69" s="5" t="s">
        <v>875</v>
      </c>
      <c r="L69" s="5" t="s">
        <v>113</v>
      </c>
      <c r="M69" s="5" t="s">
        <v>853</v>
      </c>
      <c r="N69" s="5" t="s">
        <v>893</v>
      </c>
      <c r="O69" s="5" t="s">
        <v>840</v>
      </c>
      <c r="P69" s="5" t="s">
        <v>841</v>
      </c>
      <c r="Q69" s="5" t="s">
        <v>362</v>
      </c>
      <c r="R69" s="5" t="s">
        <v>843</v>
      </c>
      <c r="S69" s="7" t="s">
        <v>1031</v>
      </c>
    </row>
    <row r="70" spans="1:19" ht="44" customHeight="1">
      <c r="A70" s="5" t="s">
        <v>13</v>
      </c>
      <c r="B70" s="5" t="s">
        <v>1032</v>
      </c>
      <c r="C70" s="5" t="s">
        <v>412</v>
      </c>
      <c r="D70" s="6">
        <v>220000000</v>
      </c>
      <c r="E70" s="8">
        <v>46210.584722222222</v>
      </c>
      <c r="F70" s="16">
        <v>46224.625</v>
      </c>
      <c r="G70" s="5" t="s">
        <v>27</v>
      </c>
      <c r="H70" s="5" t="s">
        <v>113</v>
      </c>
      <c r="I70" s="5" t="s">
        <v>847</v>
      </c>
      <c r="J70" s="5" t="s">
        <v>848</v>
      </c>
      <c r="K70" s="5" t="s">
        <v>942</v>
      </c>
      <c r="L70" s="5" t="s">
        <v>872</v>
      </c>
      <c r="M70" s="5" t="s">
        <v>853</v>
      </c>
      <c r="N70" s="5" t="s">
        <v>893</v>
      </c>
      <c r="O70" s="5" t="s">
        <v>840</v>
      </c>
      <c r="P70" s="5" t="s">
        <v>841</v>
      </c>
      <c r="Q70" s="5" t="s">
        <v>362</v>
      </c>
      <c r="R70" s="5" t="s">
        <v>843</v>
      </c>
      <c r="S70" s="7" t="s">
        <v>1033</v>
      </c>
    </row>
    <row r="72" spans="1:19" ht="24" customHeight="1">
      <c r="A72" s="23" t="s">
        <v>1034</v>
      </c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  <c r="N72" s="23"/>
      <c r="O72" s="23"/>
      <c r="P72" s="23"/>
      <c r="Q72" s="23"/>
      <c r="R72" s="23"/>
      <c r="S72" s="23"/>
    </row>
    <row r="73" spans="1:19" ht="36" customHeight="1">
      <c r="A73" s="4" t="s">
        <v>6</v>
      </c>
      <c r="B73" s="4" t="s">
        <v>17</v>
      </c>
      <c r="C73" s="4" t="s">
        <v>18</v>
      </c>
      <c r="D73" s="4" t="s">
        <v>19</v>
      </c>
      <c r="E73" s="4" t="s">
        <v>21</v>
      </c>
      <c r="F73" s="4" t="s">
        <v>27</v>
      </c>
      <c r="G73" s="4" t="s">
        <v>22</v>
      </c>
      <c r="H73" s="4" t="s">
        <v>824</v>
      </c>
      <c r="I73" s="4" t="s">
        <v>825</v>
      </c>
      <c r="J73" s="4" t="s">
        <v>826</v>
      </c>
      <c r="K73" s="4" t="s">
        <v>827</v>
      </c>
      <c r="L73" s="4" t="s">
        <v>828</v>
      </c>
      <c r="M73" s="4" t="s">
        <v>829</v>
      </c>
      <c r="N73" s="4" t="s">
        <v>830</v>
      </c>
      <c r="O73" s="4" t="s">
        <v>831</v>
      </c>
      <c r="P73" s="4" t="s">
        <v>832</v>
      </c>
      <c r="Q73" s="4" t="s">
        <v>358</v>
      </c>
      <c r="R73" s="4" t="s">
        <v>833</v>
      </c>
      <c r="S73" s="4" t="s">
        <v>834</v>
      </c>
    </row>
    <row r="74" spans="1:19" ht="44" customHeight="1">
      <c r="A74" s="5" t="s">
        <v>14</v>
      </c>
      <c r="B74" s="5" t="s">
        <v>1035</v>
      </c>
      <c r="C74" s="5" t="s">
        <v>1036</v>
      </c>
      <c r="D74" s="6">
        <v>50000000</v>
      </c>
      <c r="E74" s="8">
        <v>46216.727777777778</v>
      </c>
      <c r="F74" s="16">
        <v>46227.666666666657</v>
      </c>
      <c r="G74" s="9" t="s">
        <v>3</v>
      </c>
      <c r="H74" s="5" t="s">
        <v>113</v>
      </c>
      <c r="I74" s="5" t="s">
        <v>1037</v>
      </c>
      <c r="J74" s="5" t="s">
        <v>1038</v>
      </c>
      <c r="K74" s="5" t="s">
        <v>113</v>
      </c>
      <c r="L74" s="5" t="s">
        <v>113</v>
      </c>
      <c r="M74" s="5" t="s">
        <v>853</v>
      </c>
      <c r="N74" s="5" t="s">
        <v>839</v>
      </c>
      <c r="O74" s="5" t="s">
        <v>840</v>
      </c>
      <c r="P74" s="5" t="s">
        <v>841</v>
      </c>
      <c r="Q74" s="5" t="s">
        <v>362</v>
      </c>
      <c r="R74" s="5" t="s">
        <v>843</v>
      </c>
      <c r="S74" s="7" t="s">
        <v>1039</v>
      </c>
    </row>
    <row r="75" spans="1:19" ht="44" customHeight="1">
      <c r="A75" s="5" t="s">
        <v>14</v>
      </c>
      <c r="B75" s="5" t="s">
        <v>53</v>
      </c>
      <c r="C75" s="5" t="s">
        <v>54</v>
      </c>
      <c r="D75" s="6">
        <v>201830000</v>
      </c>
      <c r="E75" s="8">
        <v>46219.362500000003</v>
      </c>
      <c r="F75" s="16">
        <v>46232.416666666657</v>
      </c>
      <c r="G75" s="9" t="s">
        <v>3</v>
      </c>
      <c r="H75" s="5" t="s">
        <v>113</v>
      </c>
      <c r="I75" s="14" t="s">
        <v>1040</v>
      </c>
      <c r="J75" s="5" t="s">
        <v>1041</v>
      </c>
      <c r="K75" s="5" t="s">
        <v>875</v>
      </c>
      <c r="L75" s="5" t="s">
        <v>1015</v>
      </c>
      <c r="M75" s="5" t="s">
        <v>853</v>
      </c>
      <c r="N75" s="5" t="s">
        <v>839</v>
      </c>
      <c r="O75" s="5" t="s">
        <v>840</v>
      </c>
      <c r="P75" s="5" t="s">
        <v>841</v>
      </c>
      <c r="Q75" s="5" t="s">
        <v>362</v>
      </c>
      <c r="R75" s="5" t="s">
        <v>1042</v>
      </c>
      <c r="S75" s="7" t="s">
        <v>1043</v>
      </c>
    </row>
    <row r="76" spans="1:19" ht="44" customHeight="1">
      <c r="A76" s="5" t="s">
        <v>14</v>
      </c>
      <c r="B76" s="5" t="s">
        <v>1044</v>
      </c>
      <c r="C76" s="5" t="s">
        <v>409</v>
      </c>
      <c r="D76" s="6">
        <v>47952000</v>
      </c>
      <c r="E76" s="8">
        <v>46223.414583333331</v>
      </c>
      <c r="F76" s="16">
        <v>46238.666666666657</v>
      </c>
      <c r="G76" s="9" t="s">
        <v>3</v>
      </c>
      <c r="H76" s="5" t="s">
        <v>113</v>
      </c>
      <c r="I76" s="14" t="s">
        <v>1040</v>
      </c>
      <c r="J76" s="5" t="s">
        <v>1041</v>
      </c>
      <c r="K76" s="5" t="s">
        <v>875</v>
      </c>
      <c r="L76" s="5" t="s">
        <v>113</v>
      </c>
      <c r="M76" s="5" t="s">
        <v>853</v>
      </c>
      <c r="N76" s="5" t="s">
        <v>839</v>
      </c>
      <c r="O76" s="5" t="s">
        <v>840</v>
      </c>
      <c r="P76" s="5" t="s">
        <v>841</v>
      </c>
      <c r="Q76" s="5" t="s">
        <v>362</v>
      </c>
      <c r="R76" s="5" t="s">
        <v>843</v>
      </c>
      <c r="S76" s="7" t="s">
        <v>1045</v>
      </c>
    </row>
    <row r="77" spans="1:19" ht="44" customHeight="1">
      <c r="A77" s="5" t="s">
        <v>14</v>
      </c>
      <c r="B77" s="5" t="s">
        <v>1046</v>
      </c>
      <c r="C77" s="5" t="s">
        <v>396</v>
      </c>
      <c r="D77" s="6">
        <v>170000000</v>
      </c>
      <c r="E77" s="8">
        <v>46223.94027777778</v>
      </c>
      <c r="F77" s="16">
        <v>46238.94027777778</v>
      </c>
      <c r="G77" s="9" t="s">
        <v>3</v>
      </c>
      <c r="H77" s="5" t="s">
        <v>113</v>
      </c>
      <c r="I77" s="5" t="s">
        <v>847</v>
      </c>
      <c r="J77" s="5" t="s">
        <v>848</v>
      </c>
      <c r="K77" s="5" t="s">
        <v>868</v>
      </c>
      <c r="L77" s="5" t="s">
        <v>113</v>
      </c>
      <c r="M77" s="5" t="s">
        <v>853</v>
      </c>
      <c r="N77" s="5" t="s">
        <v>839</v>
      </c>
      <c r="O77" s="5" t="s">
        <v>840</v>
      </c>
      <c r="P77" s="5" t="s">
        <v>841</v>
      </c>
      <c r="Q77" s="5" t="s">
        <v>362</v>
      </c>
      <c r="R77" s="5" t="s">
        <v>843</v>
      </c>
      <c r="S77" s="7" t="s">
        <v>1047</v>
      </c>
    </row>
    <row r="78" spans="1:19" ht="44" customHeight="1">
      <c r="A78" s="5" t="s">
        <v>14</v>
      </c>
      <c r="B78" s="5" t="s">
        <v>390</v>
      </c>
      <c r="C78" s="5" t="s">
        <v>388</v>
      </c>
      <c r="D78" s="6">
        <v>180000000</v>
      </c>
      <c r="E78" s="8">
        <v>46055.572916666657</v>
      </c>
      <c r="F78" s="16">
        <v>46066.583333333343</v>
      </c>
      <c r="G78" s="5" t="s">
        <v>27</v>
      </c>
      <c r="H78" s="5" t="s">
        <v>656</v>
      </c>
      <c r="I78" s="14" t="s">
        <v>1040</v>
      </c>
      <c r="J78" s="5" t="s">
        <v>1041</v>
      </c>
      <c r="K78" s="5" t="s">
        <v>875</v>
      </c>
      <c r="L78" s="5" t="s">
        <v>113</v>
      </c>
      <c r="M78" s="5" t="s">
        <v>113</v>
      </c>
      <c r="N78" s="5" t="s">
        <v>839</v>
      </c>
      <c r="O78" s="5" t="s">
        <v>113</v>
      </c>
      <c r="P78" s="5" t="s">
        <v>841</v>
      </c>
      <c r="Q78" s="5" t="s">
        <v>372</v>
      </c>
      <c r="R78" s="5" t="s">
        <v>874</v>
      </c>
      <c r="S78" s="7" t="s">
        <v>391</v>
      </c>
    </row>
    <row r="79" spans="1:19" ht="44" customHeight="1">
      <c r="A79" s="5" t="s">
        <v>14</v>
      </c>
      <c r="B79" s="5" t="s">
        <v>1048</v>
      </c>
      <c r="C79" s="5" t="s">
        <v>388</v>
      </c>
      <c r="D79" s="6">
        <v>180000000</v>
      </c>
      <c r="E79" s="8">
        <v>46055.575694444437</v>
      </c>
      <c r="F79" s="16">
        <v>46066.583333333343</v>
      </c>
      <c r="G79" s="5" t="s">
        <v>27</v>
      </c>
      <c r="H79" s="5" t="s">
        <v>113</v>
      </c>
      <c r="I79" s="14" t="s">
        <v>1040</v>
      </c>
      <c r="J79" s="5" t="s">
        <v>1041</v>
      </c>
      <c r="K79" s="5" t="s">
        <v>875</v>
      </c>
      <c r="L79" s="5" t="s">
        <v>113</v>
      </c>
      <c r="M79" s="5" t="s">
        <v>113</v>
      </c>
      <c r="N79" s="5" t="s">
        <v>839</v>
      </c>
      <c r="O79" s="5" t="s">
        <v>113</v>
      </c>
      <c r="P79" s="5" t="s">
        <v>841</v>
      </c>
      <c r="Q79" s="5" t="s">
        <v>372</v>
      </c>
      <c r="R79" s="5" t="s">
        <v>874</v>
      </c>
      <c r="S79" s="7" t="s">
        <v>1049</v>
      </c>
    </row>
    <row r="80" spans="1:19" ht="44" customHeight="1">
      <c r="A80" s="5" t="s">
        <v>14</v>
      </c>
      <c r="B80" s="5" t="s">
        <v>387</v>
      </c>
      <c r="C80" s="5" t="s">
        <v>388</v>
      </c>
      <c r="D80" s="6">
        <v>180000000</v>
      </c>
      <c r="E80" s="8">
        <v>46055.579861111109</v>
      </c>
      <c r="F80" s="16">
        <v>46066.583333333343</v>
      </c>
      <c r="G80" s="5" t="s">
        <v>27</v>
      </c>
      <c r="H80" s="5" t="s">
        <v>64</v>
      </c>
      <c r="I80" s="14" t="s">
        <v>1040</v>
      </c>
      <c r="J80" s="5" t="s">
        <v>1041</v>
      </c>
      <c r="K80" s="5" t="s">
        <v>875</v>
      </c>
      <c r="L80" s="5" t="s">
        <v>113</v>
      </c>
      <c r="M80" s="5" t="s">
        <v>113</v>
      </c>
      <c r="N80" s="5" t="s">
        <v>839</v>
      </c>
      <c r="O80" s="5" t="s">
        <v>113</v>
      </c>
      <c r="P80" s="5" t="s">
        <v>841</v>
      </c>
      <c r="Q80" s="5" t="s">
        <v>372</v>
      </c>
      <c r="R80" s="5" t="s">
        <v>874</v>
      </c>
      <c r="S80" s="7" t="s">
        <v>389</v>
      </c>
    </row>
    <row r="81" spans="1:19" ht="44" customHeight="1">
      <c r="A81" s="5" t="s">
        <v>14</v>
      </c>
      <c r="B81" s="5" t="s">
        <v>485</v>
      </c>
      <c r="C81" s="5" t="s">
        <v>388</v>
      </c>
      <c r="D81" s="6">
        <v>180000000</v>
      </c>
      <c r="E81" s="8">
        <v>46056.450694444437</v>
      </c>
      <c r="F81" s="16">
        <v>46073.583333333343</v>
      </c>
      <c r="G81" s="5" t="s">
        <v>27</v>
      </c>
      <c r="H81" s="5" t="s">
        <v>68</v>
      </c>
      <c r="I81" s="14" t="s">
        <v>1040</v>
      </c>
      <c r="J81" s="5" t="s">
        <v>1041</v>
      </c>
      <c r="K81" s="5" t="s">
        <v>875</v>
      </c>
      <c r="L81" s="5" t="s">
        <v>113</v>
      </c>
      <c r="M81" s="5" t="s">
        <v>99</v>
      </c>
      <c r="N81" s="5" t="s">
        <v>839</v>
      </c>
      <c r="O81" s="5" t="s">
        <v>840</v>
      </c>
      <c r="P81" s="5" t="s">
        <v>841</v>
      </c>
      <c r="Q81" s="5" t="s">
        <v>372</v>
      </c>
      <c r="R81" s="5" t="s">
        <v>1050</v>
      </c>
      <c r="S81" s="7" t="s">
        <v>486</v>
      </c>
    </row>
    <row r="82" spans="1:19" ht="44" customHeight="1">
      <c r="A82" s="5" t="s">
        <v>14</v>
      </c>
      <c r="B82" s="5" t="s">
        <v>483</v>
      </c>
      <c r="C82" s="5" t="s">
        <v>388</v>
      </c>
      <c r="D82" s="6">
        <v>180000000</v>
      </c>
      <c r="E82" s="8">
        <v>46056.45208333333</v>
      </c>
      <c r="F82" s="16">
        <v>46073.583333333343</v>
      </c>
      <c r="G82" s="5" t="s">
        <v>27</v>
      </c>
      <c r="H82" s="5" t="s">
        <v>68</v>
      </c>
      <c r="I82" s="14" t="s">
        <v>1040</v>
      </c>
      <c r="J82" s="5" t="s">
        <v>1041</v>
      </c>
      <c r="K82" s="5" t="s">
        <v>875</v>
      </c>
      <c r="L82" s="5" t="s">
        <v>113</v>
      </c>
      <c r="M82" s="5" t="s">
        <v>99</v>
      </c>
      <c r="N82" s="5" t="s">
        <v>839</v>
      </c>
      <c r="O82" s="5" t="s">
        <v>840</v>
      </c>
      <c r="P82" s="5" t="s">
        <v>841</v>
      </c>
      <c r="Q82" s="5" t="s">
        <v>372</v>
      </c>
      <c r="R82" s="5" t="s">
        <v>1051</v>
      </c>
      <c r="S82" s="7" t="s">
        <v>484</v>
      </c>
    </row>
    <row r="83" spans="1:19" ht="44" customHeight="1">
      <c r="A83" s="5" t="s">
        <v>14</v>
      </c>
      <c r="B83" s="5" t="s">
        <v>618</v>
      </c>
      <c r="C83" s="5" t="s">
        <v>619</v>
      </c>
      <c r="D83" s="6">
        <v>242134000</v>
      </c>
      <c r="E83" s="8">
        <v>46058.43472222222</v>
      </c>
      <c r="F83" s="16">
        <v>46078.416666666657</v>
      </c>
      <c r="G83" s="5" t="s">
        <v>27</v>
      </c>
      <c r="H83" s="5" t="s">
        <v>74</v>
      </c>
      <c r="I83" s="5" t="s">
        <v>847</v>
      </c>
      <c r="J83" s="5" t="s">
        <v>848</v>
      </c>
      <c r="K83" s="5" t="s">
        <v>849</v>
      </c>
      <c r="L83" s="5" t="s">
        <v>1052</v>
      </c>
      <c r="M83" s="5" t="s">
        <v>113</v>
      </c>
      <c r="N83" s="5" t="s">
        <v>893</v>
      </c>
      <c r="O83" s="5" t="s">
        <v>113</v>
      </c>
      <c r="P83" s="5" t="s">
        <v>841</v>
      </c>
      <c r="Q83" s="5" t="s">
        <v>372</v>
      </c>
      <c r="R83" s="5" t="s">
        <v>874</v>
      </c>
      <c r="S83" s="7" t="s">
        <v>620</v>
      </c>
    </row>
    <row r="84" spans="1:19" ht="44" customHeight="1">
      <c r="A84" s="5" t="s">
        <v>14</v>
      </c>
      <c r="B84" s="5" t="s">
        <v>616</v>
      </c>
      <c r="C84" s="5" t="s">
        <v>431</v>
      </c>
      <c r="D84" s="6">
        <v>230000000</v>
      </c>
      <c r="E84" s="8">
        <v>46062.32916666667</v>
      </c>
      <c r="F84" s="16">
        <v>46080.416666666657</v>
      </c>
      <c r="G84" s="5" t="s">
        <v>27</v>
      </c>
      <c r="H84" s="5" t="s">
        <v>74</v>
      </c>
      <c r="I84" s="5" t="s">
        <v>847</v>
      </c>
      <c r="J84" s="5" t="s">
        <v>848</v>
      </c>
      <c r="K84" s="5" t="s">
        <v>849</v>
      </c>
      <c r="L84" s="5" t="s">
        <v>113</v>
      </c>
      <c r="M84" s="5" t="s">
        <v>853</v>
      </c>
      <c r="N84" s="5" t="s">
        <v>893</v>
      </c>
      <c r="O84" s="5" t="s">
        <v>840</v>
      </c>
      <c r="P84" s="5" t="s">
        <v>841</v>
      </c>
      <c r="Q84" s="5" t="s">
        <v>372</v>
      </c>
      <c r="R84" s="5" t="s">
        <v>843</v>
      </c>
      <c r="S84" s="7" t="s">
        <v>617</v>
      </c>
    </row>
    <row r="85" spans="1:19" ht="44" customHeight="1">
      <c r="A85" s="5" t="s">
        <v>14</v>
      </c>
      <c r="B85" s="5" t="s">
        <v>732</v>
      </c>
      <c r="C85" s="5" t="s">
        <v>434</v>
      </c>
      <c r="D85" s="6">
        <v>145000000</v>
      </c>
      <c r="E85" s="8">
        <v>46063.386805555558</v>
      </c>
      <c r="F85" s="16">
        <v>46072.708333333343</v>
      </c>
      <c r="G85" s="5" t="s">
        <v>27</v>
      </c>
      <c r="H85" s="5" t="s">
        <v>730</v>
      </c>
      <c r="I85" s="5" t="s">
        <v>1037</v>
      </c>
      <c r="J85" s="5" t="s">
        <v>1038</v>
      </c>
      <c r="K85" s="5" t="s">
        <v>113</v>
      </c>
      <c r="L85" s="5" t="s">
        <v>113</v>
      </c>
      <c r="M85" s="5" t="s">
        <v>853</v>
      </c>
      <c r="N85" s="5" t="s">
        <v>893</v>
      </c>
      <c r="O85" s="5" t="s">
        <v>841</v>
      </c>
      <c r="P85" s="5" t="s">
        <v>841</v>
      </c>
      <c r="Q85" s="5" t="s">
        <v>372</v>
      </c>
      <c r="R85" s="5" t="s">
        <v>843</v>
      </c>
      <c r="S85" s="7" t="s">
        <v>733</v>
      </c>
    </row>
    <row r="86" spans="1:19" ht="44" customHeight="1">
      <c r="A86" s="5" t="s">
        <v>14</v>
      </c>
      <c r="B86" s="5" t="s">
        <v>543</v>
      </c>
      <c r="C86" s="5" t="s">
        <v>434</v>
      </c>
      <c r="D86" s="6">
        <v>155000000</v>
      </c>
      <c r="E86" s="8">
        <v>46063.388194444437</v>
      </c>
      <c r="F86" s="16">
        <v>46072.708333333343</v>
      </c>
      <c r="G86" s="5" t="s">
        <v>27</v>
      </c>
      <c r="H86" s="5" t="s">
        <v>812</v>
      </c>
      <c r="I86" s="5" t="s">
        <v>1037</v>
      </c>
      <c r="J86" s="5" t="s">
        <v>1038</v>
      </c>
      <c r="K86" s="5" t="s">
        <v>113</v>
      </c>
      <c r="L86" s="5" t="s">
        <v>113</v>
      </c>
      <c r="M86" s="5" t="s">
        <v>853</v>
      </c>
      <c r="N86" s="5" t="s">
        <v>893</v>
      </c>
      <c r="O86" s="5" t="s">
        <v>841</v>
      </c>
      <c r="P86" s="5" t="s">
        <v>841</v>
      </c>
      <c r="Q86" s="5" t="s">
        <v>372</v>
      </c>
      <c r="R86" s="5" t="s">
        <v>843</v>
      </c>
      <c r="S86" s="7" t="s">
        <v>544</v>
      </c>
    </row>
    <row r="87" spans="1:19" ht="44" customHeight="1">
      <c r="A87" s="5" t="s">
        <v>14</v>
      </c>
      <c r="B87" s="5" t="s">
        <v>481</v>
      </c>
      <c r="C87" s="5" t="s">
        <v>434</v>
      </c>
      <c r="D87" s="6">
        <v>300000000</v>
      </c>
      <c r="E87" s="8">
        <v>46073.428472222222</v>
      </c>
      <c r="F87" s="16">
        <v>46084.416666666657</v>
      </c>
      <c r="G87" s="5" t="s">
        <v>27</v>
      </c>
      <c r="H87" s="5" t="s">
        <v>680</v>
      </c>
      <c r="I87" s="5" t="s">
        <v>1037</v>
      </c>
      <c r="J87" s="5" t="s">
        <v>1038</v>
      </c>
      <c r="K87" s="5" t="s">
        <v>113</v>
      </c>
      <c r="L87" s="5" t="s">
        <v>113</v>
      </c>
      <c r="M87" s="5" t="s">
        <v>853</v>
      </c>
      <c r="N87" s="5" t="s">
        <v>893</v>
      </c>
      <c r="O87" s="5" t="s">
        <v>840</v>
      </c>
      <c r="P87" s="5" t="s">
        <v>841</v>
      </c>
      <c r="Q87" s="5" t="s">
        <v>372</v>
      </c>
      <c r="R87" s="5" t="s">
        <v>1053</v>
      </c>
      <c r="S87" s="7" t="s">
        <v>482</v>
      </c>
    </row>
    <row r="88" spans="1:19" ht="44" customHeight="1">
      <c r="A88" s="5" t="s">
        <v>14</v>
      </c>
      <c r="B88" s="5" t="s">
        <v>479</v>
      </c>
      <c r="C88" s="5" t="s">
        <v>434</v>
      </c>
      <c r="D88" s="6">
        <v>180000000</v>
      </c>
      <c r="E88" s="8">
        <v>46073.432638888888</v>
      </c>
      <c r="F88" s="16">
        <v>46084.416666666657</v>
      </c>
      <c r="G88" s="5" t="s">
        <v>27</v>
      </c>
      <c r="H88" s="5" t="s">
        <v>680</v>
      </c>
      <c r="I88" s="5" t="s">
        <v>1037</v>
      </c>
      <c r="J88" s="5" t="s">
        <v>1038</v>
      </c>
      <c r="K88" s="5" t="s">
        <v>113</v>
      </c>
      <c r="L88" s="5" t="s">
        <v>113</v>
      </c>
      <c r="M88" s="5" t="s">
        <v>853</v>
      </c>
      <c r="N88" s="5" t="s">
        <v>893</v>
      </c>
      <c r="O88" s="5" t="s">
        <v>840</v>
      </c>
      <c r="P88" s="5" t="s">
        <v>841</v>
      </c>
      <c r="Q88" s="5" t="s">
        <v>372</v>
      </c>
      <c r="R88" s="5" t="s">
        <v>843</v>
      </c>
      <c r="S88" s="7" t="s">
        <v>480</v>
      </c>
    </row>
    <row r="89" spans="1:19" ht="44" customHeight="1">
      <c r="A89" s="5" t="s">
        <v>14</v>
      </c>
      <c r="B89" s="5" t="s">
        <v>1048</v>
      </c>
      <c r="C89" s="5" t="s">
        <v>388</v>
      </c>
      <c r="D89" s="6">
        <v>180000000</v>
      </c>
      <c r="E89" s="8">
        <v>46080.560416666667</v>
      </c>
      <c r="F89" s="16">
        <v>46087.583333333343</v>
      </c>
      <c r="G89" s="5" t="s">
        <v>27</v>
      </c>
      <c r="H89" s="5" t="s">
        <v>113</v>
      </c>
      <c r="I89" s="14" t="s">
        <v>1040</v>
      </c>
      <c r="J89" s="5" t="s">
        <v>1041</v>
      </c>
      <c r="K89" s="5" t="s">
        <v>875</v>
      </c>
      <c r="L89" s="5" t="s">
        <v>113</v>
      </c>
      <c r="M89" s="5" t="s">
        <v>113</v>
      </c>
      <c r="N89" s="5" t="s">
        <v>839</v>
      </c>
      <c r="O89" s="5" t="s">
        <v>113</v>
      </c>
      <c r="P89" s="5" t="s">
        <v>841</v>
      </c>
      <c r="Q89" s="5" t="s">
        <v>372</v>
      </c>
      <c r="R89" s="5" t="s">
        <v>874</v>
      </c>
      <c r="S89" s="7" t="s">
        <v>1054</v>
      </c>
    </row>
    <row r="90" spans="1:19" ht="44" customHeight="1">
      <c r="A90" s="5" t="s">
        <v>14</v>
      </c>
      <c r="B90" s="5" t="s">
        <v>1055</v>
      </c>
      <c r="C90" s="5" t="s">
        <v>1056</v>
      </c>
      <c r="D90" s="6">
        <v>150000000</v>
      </c>
      <c r="E90" s="8">
        <v>46084.561111111107</v>
      </c>
      <c r="F90" s="16">
        <v>46105.583333333343</v>
      </c>
      <c r="G90" s="5" t="s">
        <v>27</v>
      </c>
      <c r="H90" s="5" t="s">
        <v>113</v>
      </c>
      <c r="I90" s="5" t="s">
        <v>1037</v>
      </c>
      <c r="J90" s="5" t="s">
        <v>1038</v>
      </c>
      <c r="K90" s="5" t="s">
        <v>113</v>
      </c>
      <c r="L90" s="5" t="s">
        <v>113</v>
      </c>
      <c r="M90" s="5" t="s">
        <v>853</v>
      </c>
      <c r="N90" s="5" t="s">
        <v>839</v>
      </c>
      <c r="O90" s="5" t="s">
        <v>840</v>
      </c>
      <c r="P90" s="5" t="s">
        <v>865</v>
      </c>
      <c r="Q90" s="5" t="s">
        <v>372</v>
      </c>
      <c r="R90" s="5" t="s">
        <v>843</v>
      </c>
      <c r="S90" s="7" t="s">
        <v>1057</v>
      </c>
    </row>
    <row r="91" spans="1:19" ht="44" customHeight="1">
      <c r="A91" s="5" t="s">
        <v>14</v>
      </c>
      <c r="B91" s="5" t="s">
        <v>1058</v>
      </c>
      <c r="C91" s="5" t="s">
        <v>415</v>
      </c>
      <c r="D91" s="6">
        <v>88000000</v>
      </c>
      <c r="E91" s="8">
        <v>46085.631944444453</v>
      </c>
      <c r="F91" s="16">
        <v>46097.458333333343</v>
      </c>
      <c r="G91" s="5" t="s">
        <v>27</v>
      </c>
      <c r="H91" s="5" t="s">
        <v>113</v>
      </c>
      <c r="I91" s="5" t="s">
        <v>1037</v>
      </c>
      <c r="J91" s="5" t="s">
        <v>1038</v>
      </c>
      <c r="K91" s="5" t="s">
        <v>113</v>
      </c>
      <c r="L91" s="5" t="s">
        <v>113</v>
      </c>
      <c r="M91" s="5" t="s">
        <v>853</v>
      </c>
      <c r="N91" s="5" t="s">
        <v>839</v>
      </c>
      <c r="O91" s="5" t="s">
        <v>840</v>
      </c>
      <c r="P91" s="5" t="s">
        <v>841</v>
      </c>
      <c r="Q91" s="5" t="s">
        <v>372</v>
      </c>
      <c r="R91" s="5" t="s">
        <v>1059</v>
      </c>
      <c r="S91" s="7" t="s">
        <v>1060</v>
      </c>
    </row>
    <row r="92" spans="1:19" ht="44" customHeight="1">
      <c r="A92" s="5" t="s">
        <v>14</v>
      </c>
      <c r="B92" s="5" t="s">
        <v>1061</v>
      </c>
      <c r="C92" s="5" t="s">
        <v>1062</v>
      </c>
      <c r="D92" s="6">
        <v>80000000</v>
      </c>
      <c r="E92" s="8">
        <v>46085.802083333343</v>
      </c>
      <c r="F92" s="16">
        <v>46100.802083333343</v>
      </c>
      <c r="G92" s="5" t="s">
        <v>27</v>
      </c>
      <c r="H92" s="5" t="s">
        <v>113</v>
      </c>
      <c r="I92" s="14" t="s">
        <v>1040</v>
      </c>
      <c r="J92" s="5" t="s">
        <v>1041</v>
      </c>
      <c r="K92" s="5" t="s">
        <v>875</v>
      </c>
      <c r="L92" s="5" t="s">
        <v>113</v>
      </c>
      <c r="M92" s="5" t="s">
        <v>853</v>
      </c>
      <c r="N92" s="5" t="s">
        <v>839</v>
      </c>
      <c r="O92" s="5" t="s">
        <v>840</v>
      </c>
      <c r="P92" s="5" t="s">
        <v>841</v>
      </c>
      <c r="Q92" s="5" t="s">
        <v>372</v>
      </c>
      <c r="R92" s="5" t="s">
        <v>1063</v>
      </c>
      <c r="S92" s="7" t="s">
        <v>1064</v>
      </c>
    </row>
    <row r="93" spans="1:19" ht="44" customHeight="1">
      <c r="A93" s="5" t="s">
        <v>14</v>
      </c>
      <c r="B93" s="5" t="s">
        <v>1065</v>
      </c>
      <c r="C93" s="5" t="s">
        <v>434</v>
      </c>
      <c r="D93" s="6">
        <v>90000000</v>
      </c>
      <c r="E93" s="8">
        <v>46091.422222222223</v>
      </c>
      <c r="F93" s="16">
        <v>46101.416666666657</v>
      </c>
      <c r="G93" s="5" t="s">
        <v>27</v>
      </c>
      <c r="H93" s="5" t="s">
        <v>113</v>
      </c>
      <c r="I93" s="5" t="s">
        <v>1037</v>
      </c>
      <c r="J93" s="5" t="s">
        <v>1038</v>
      </c>
      <c r="K93" s="5" t="s">
        <v>113</v>
      </c>
      <c r="L93" s="5" t="s">
        <v>113</v>
      </c>
      <c r="M93" s="5" t="s">
        <v>853</v>
      </c>
      <c r="N93" s="5" t="s">
        <v>839</v>
      </c>
      <c r="O93" s="5" t="s">
        <v>841</v>
      </c>
      <c r="P93" s="5" t="s">
        <v>841</v>
      </c>
      <c r="Q93" s="5" t="s">
        <v>372</v>
      </c>
      <c r="R93" s="5" t="s">
        <v>843</v>
      </c>
      <c r="S93" s="7" t="s">
        <v>1066</v>
      </c>
    </row>
    <row r="94" spans="1:19" ht="44" customHeight="1">
      <c r="A94" s="5" t="s">
        <v>14</v>
      </c>
      <c r="B94" s="5" t="s">
        <v>1067</v>
      </c>
      <c r="C94" s="5" t="s">
        <v>41</v>
      </c>
      <c r="D94" s="6">
        <v>70000000</v>
      </c>
      <c r="E94" s="8">
        <v>46098.404861111107</v>
      </c>
      <c r="F94" s="16">
        <v>46113.404861111107</v>
      </c>
      <c r="G94" s="5" t="s">
        <v>27</v>
      </c>
      <c r="H94" s="5" t="s">
        <v>113</v>
      </c>
      <c r="I94" s="14" t="s">
        <v>1040</v>
      </c>
      <c r="J94" s="5" t="s">
        <v>1041</v>
      </c>
      <c r="K94" s="5" t="s">
        <v>908</v>
      </c>
      <c r="L94" s="5" t="s">
        <v>113</v>
      </c>
      <c r="M94" s="5" t="s">
        <v>99</v>
      </c>
      <c r="N94" s="5" t="s">
        <v>839</v>
      </c>
      <c r="O94" s="5" t="s">
        <v>840</v>
      </c>
      <c r="P94" s="5" t="s">
        <v>841</v>
      </c>
      <c r="Q94" s="5" t="s">
        <v>372</v>
      </c>
      <c r="R94" s="5" t="s">
        <v>1068</v>
      </c>
      <c r="S94" s="7" t="s">
        <v>1069</v>
      </c>
    </row>
    <row r="95" spans="1:19" ht="44" customHeight="1">
      <c r="A95" s="5" t="s">
        <v>14</v>
      </c>
      <c r="B95" s="5" t="s">
        <v>1070</v>
      </c>
      <c r="C95" s="5" t="s">
        <v>1071</v>
      </c>
      <c r="D95" s="6">
        <v>97000000</v>
      </c>
      <c r="E95" s="8">
        <v>46100.383333333331</v>
      </c>
      <c r="F95" s="16">
        <v>46115.708333333343</v>
      </c>
      <c r="G95" s="5" t="s">
        <v>27</v>
      </c>
      <c r="H95" s="5" t="s">
        <v>1072</v>
      </c>
      <c r="I95" s="14" t="s">
        <v>1040</v>
      </c>
      <c r="J95" s="5" t="s">
        <v>1041</v>
      </c>
      <c r="K95" s="5" t="s">
        <v>1073</v>
      </c>
      <c r="L95" s="5" t="s">
        <v>113</v>
      </c>
      <c r="M95" s="5" t="s">
        <v>99</v>
      </c>
      <c r="N95" s="5" t="s">
        <v>839</v>
      </c>
      <c r="O95" s="5" t="s">
        <v>840</v>
      </c>
      <c r="P95" s="5" t="s">
        <v>841</v>
      </c>
      <c r="Q95" s="5" t="s">
        <v>372</v>
      </c>
      <c r="R95" s="5" t="s">
        <v>1074</v>
      </c>
      <c r="S95" s="7" t="s">
        <v>1075</v>
      </c>
    </row>
    <row r="96" spans="1:19" ht="44" customHeight="1">
      <c r="A96" s="5" t="s">
        <v>14</v>
      </c>
      <c r="B96" s="5" t="s">
        <v>613</v>
      </c>
      <c r="C96" s="5" t="s">
        <v>614</v>
      </c>
      <c r="D96" s="6">
        <v>160000000</v>
      </c>
      <c r="E96" s="8">
        <v>46104.625</v>
      </c>
      <c r="F96" s="16">
        <v>46115.416666666657</v>
      </c>
      <c r="G96" s="5" t="s">
        <v>27</v>
      </c>
      <c r="H96" s="5" t="s">
        <v>805</v>
      </c>
      <c r="I96" s="5" t="s">
        <v>1037</v>
      </c>
      <c r="J96" s="5" t="s">
        <v>1038</v>
      </c>
      <c r="K96" s="5" t="s">
        <v>113</v>
      </c>
      <c r="L96" s="5" t="s">
        <v>113</v>
      </c>
      <c r="M96" s="5" t="s">
        <v>853</v>
      </c>
      <c r="N96" s="5" t="s">
        <v>839</v>
      </c>
      <c r="O96" s="5" t="s">
        <v>840</v>
      </c>
      <c r="P96" s="5" t="s">
        <v>841</v>
      </c>
      <c r="Q96" s="5" t="s">
        <v>372</v>
      </c>
      <c r="R96" s="5" t="s">
        <v>1076</v>
      </c>
      <c r="S96" s="7" t="s">
        <v>615</v>
      </c>
    </row>
    <row r="97" spans="1:19" ht="44" customHeight="1">
      <c r="A97" s="5" t="s">
        <v>14</v>
      </c>
      <c r="B97" s="5" t="s">
        <v>383</v>
      </c>
      <c r="C97" s="5" t="s">
        <v>380</v>
      </c>
      <c r="D97" s="6">
        <v>300000000</v>
      </c>
      <c r="E97" s="8">
        <v>46105.442361111112</v>
      </c>
      <c r="F97" s="16">
        <v>46126.666666666657</v>
      </c>
      <c r="G97" s="5" t="s">
        <v>27</v>
      </c>
      <c r="H97" s="5" t="s">
        <v>64</v>
      </c>
      <c r="I97" s="5" t="s">
        <v>1037</v>
      </c>
      <c r="J97" s="5" t="s">
        <v>1038</v>
      </c>
      <c r="K97" s="5" t="s">
        <v>113</v>
      </c>
      <c r="L97" s="5" t="s">
        <v>113</v>
      </c>
      <c r="M97" s="5" t="s">
        <v>853</v>
      </c>
      <c r="N97" s="5" t="s">
        <v>893</v>
      </c>
      <c r="O97" s="5" t="s">
        <v>840</v>
      </c>
      <c r="P97" s="5" t="s">
        <v>841</v>
      </c>
      <c r="Q97" s="5" t="s">
        <v>372</v>
      </c>
      <c r="R97" s="5" t="s">
        <v>843</v>
      </c>
      <c r="S97" s="7" t="s">
        <v>384</v>
      </c>
    </row>
    <row r="98" spans="1:19" ht="44" customHeight="1">
      <c r="A98" s="5" t="s">
        <v>14</v>
      </c>
      <c r="B98" s="5" t="s">
        <v>379</v>
      </c>
      <c r="C98" s="5" t="s">
        <v>380</v>
      </c>
      <c r="D98" s="6">
        <v>220000000</v>
      </c>
      <c r="E98" s="8">
        <v>46105.447916666657</v>
      </c>
      <c r="F98" s="16">
        <v>46126.666666666657</v>
      </c>
      <c r="G98" s="5" t="s">
        <v>27</v>
      </c>
      <c r="H98" s="5" t="s">
        <v>64</v>
      </c>
      <c r="I98" s="14" t="s">
        <v>1040</v>
      </c>
      <c r="J98" s="5" t="s">
        <v>1041</v>
      </c>
      <c r="K98" s="5" t="s">
        <v>113</v>
      </c>
      <c r="L98" s="5" t="s">
        <v>113</v>
      </c>
      <c r="M98" s="5" t="s">
        <v>853</v>
      </c>
      <c r="N98" s="5" t="s">
        <v>839</v>
      </c>
      <c r="O98" s="5" t="s">
        <v>840</v>
      </c>
      <c r="P98" s="5" t="s">
        <v>841</v>
      </c>
      <c r="Q98" s="5" t="s">
        <v>381</v>
      </c>
      <c r="R98" s="5" t="s">
        <v>1077</v>
      </c>
      <c r="S98" s="7" t="s">
        <v>382</v>
      </c>
    </row>
    <row r="99" spans="1:19" ht="44" customHeight="1">
      <c r="A99" s="5" t="s">
        <v>14</v>
      </c>
      <c r="B99" s="5" t="s">
        <v>377</v>
      </c>
      <c r="C99" s="5" t="s">
        <v>368</v>
      </c>
      <c r="D99" s="6">
        <v>600000000</v>
      </c>
      <c r="E99" s="8">
        <v>46105.602083333331</v>
      </c>
      <c r="F99" s="16">
        <v>46119.625</v>
      </c>
      <c r="G99" s="5" t="s">
        <v>27</v>
      </c>
      <c r="H99" s="5" t="s">
        <v>786</v>
      </c>
      <c r="I99" s="5" t="s">
        <v>847</v>
      </c>
      <c r="J99" s="5" t="s">
        <v>848</v>
      </c>
      <c r="K99" s="5" t="s">
        <v>868</v>
      </c>
      <c r="L99" s="5" t="s">
        <v>113</v>
      </c>
      <c r="M99" s="5" t="s">
        <v>99</v>
      </c>
      <c r="N99" s="5" t="s">
        <v>893</v>
      </c>
      <c r="O99" s="5" t="s">
        <v>840</v>
      </c>
      <c r="P99" s="5" t="s">
        <v>841</v>
      </c>
      <c r="Q99" s="5" t="s">
        <v>372</v>
      </c>
      <c r="R99" s="5" t="s">
        <v>1078</v>
      </c>
      <c r="S99" s="7" t="s">
        <v>378</v>
      </c>
    </row>
    <row r="100" spans="1:19" ht="44" customHeight="1">
      <c r="A100" s="5" t="s">
        <v>14</v>
      </c>
      <c r="B100" s="5" t="s">
        <v>1079</v>
      </c>
      <c r="C100" s="5" t="s">
        <v>1080</v>
      </c>
      <c r="D100" s="6">
        <v>100000000</v>
      </c>
      <c r="E100" s="8">
        <v>46106.436111111107</v>
      </c>
      <c r="F100" s="16">
        <v>46120.583333333343</v>
      </c>
      <c r="G100" s="5" t="s">
        <v>27</v>
      </c>
      <c r="H100" s="5" t="s">
        <v>1081</v>
      </c>
      <c r="I100" s="5" t="s">
        <v>1037</v>
      </c>
      <c r="J100" s="5" t="s">
        <v>1038</v>
      </c>
      <c r="K100" s="5" t="s">
        <v>113</v>
      </c>
      <c r="L100" s="5" t="s">
        <v>113</v>
      </c>
      <c r="M100" s="5" t="s">
        <v>853</v>
      </c>
      <c r="N100" s="5" t="s">
        <v>839</v>
      </c>
      <c r="O100" s="5" t="s">
        <v>840</v>
      </c>
      <c r="P100" s="5" t="s">
        <v>841</v>
      </c>
      <c r="Q100" s="5" t="s">
        <v>372</v>
      </c>
      <c r="R100" s="5" t="s">
        <v>1082</v>
      </c>
      <c r="S100" s="7" t="s">
        <v>1083</v>
      </c>
    </row>
    <row r="101" spans="1:19" ht="44" customHeight="1">
      <c r="A101" s="5" t="s">
        <v>14</v>
      </c>
      <c r="B101" s="5" t="s">
        <v>1084</v>
      </c>
      <c r="C101" s="5" t="s">
        <v>1056</v>
      </c>
      <c r="D101" s="6">
        <v>150000000</v>
      </c>
      <c r="E101" s="8">
        <v>46107.681944444441</v>
      </c>
      <c r="F101" s="16">
        <v>46122.681944444441</v>
      </c>
      <c r="G101" s="5" t="s">
        <v>27</v>
      </c>
      <c r="H101" s="5" t="s">
        <v>113</v>
      </c>
      <c r="I101" s="5" t="s">
        <v>1037</v>
      </c>
      <c r="J101" s="5" t="s">
        <v>1038</v>
      </c>
      <c r="K101" s="5" t="s">
        <v>113</v>
      </c>
      <c r="L101" s="5" t="s">
        <v>113</v>
      </c>
      <c r="M101" s="5" t="s">
        <v>853</v>
      </c>
      <c r="N101" s="5" t="s">
        <v>839</v>
      </c>
      <c r="O101" s="5" t="s">
        <v>840</v>
      </c>
      <c r="P101" s="5" t="s">
        <v>865</v>
      </c>
      <c r="Q101" s="5" t="s">
        <v>372</v>
      </c>
      <c r="R101" s="5" t="s">
        <v>843</v>
      </c>
      <c r="S101" s="7" t="s">
        <v>1085</v>
      </c>
    </row>
    <row r="102" spans="1:19" ht="44" customHeight="1">
      <c r="A102" s="5" t="s">
        <v>14</v>
      </c>
      <c r="B102" s="5" t="s">
        <v>1086</v>
      </c>
      <c r="C102" s="5" t="s">
        <v>555</v>
      </c>
      <c r="D102" s="6">
        <v>300000000</v>
      </c>
      <c r="E102" s="8">
        <v>46108.574305555558</v>
      </c>
      <c r="F102" s="16">
        <v>46122.416666666657</v>
      </c>
      <c r="G102" s="5" t="s">
        <v>27</v>
      </c>
      <c r="H102" s="5" t="s">
        <v>1087</v>
      </c>
      <c r="I102" s="5" t="s">
        <v>1037</v>
      </c>
      <c r="J102" s="5" t="s">
        <v>1038</v>
      </c>
      <c r="K102" s="5" t="s">
        <v>113</v>
      </c>
      <c r="L102" s="5" t="s">
        <v>113</v>
      </c>
      <c r="M102" s="5" t="s">
        <v>853</v>
      </c>
      <c r="N102" s="5" t="s">
        <v>839</v>
      </c>
      <c r="O102" s="5" t="s">
        <v>840</v>
      </c>
      <c r="P102" s="5" t="s">
        <v>841</v>
      </c>
      <c r="Q102" s="5" t="s">
        <v>372</v>
      </c>
      <c r="R102" s="5" t="s">
        <v>1088</v>
      </c>
      <c r="S102" s="7" t="s">
        <v>1089</v>
      </c>
    </row>
    <row r="103" spans="1:19" ht="44" customHeight="1">
      <c r="A103" s="5" t="s">
        <v>14</v>
      </c>
      <c r="B103" s="5" t="s">
        <v>370</v>
      </c>
      <c r="C103" s="5" t="s">
        <v>371</v>
      </c>
      <c r="D103" s="6">
        <v>175000000</v>
      </c>
      <c r="E103" s="8">
        <v>46111.341666666667</v>
      </c>
      <c r="F103" s="16">
        <v>46128.666666666657</v>
      </c>
      <c r="G103" s="5" t="s">
        <v>27</v>
      </c>
      <c r="H103" s="5" t="s">
        <v>810</v>
      </c>
      <c r="I103" s="5" t="s">
        <v>837</v>
      </c>
      <c r="J103" s="5" t="s">
        <v>838</v>
      </c>
      <c r="K103" s="5" t="s">
        <v>113</v>
      </c>
      <c r="L103" s="5" t="s">
        <v>113</v>
      </c>
      <c r="M103" s="5" t="s">
        <v>99</v>
      </c>
      <c r="N103" s="5" t="s">
        <v>839</v>
      </c>
      <c r="O103" s="5" t="s">
        <v>840</v>
      </c>
      <c r="P103" s="5" t="s">
        <v>841</v>
      </c>
      <c r="Q103" s="5" t="s">
        <v>372</v>
      </c>
      <c r="R103" s="5" t="s">
        <v>1090</v>
      </c>
      <c r="S103" s="7" t="s">
        <v>376</v>
      </c>
    </row>
    <row r="104" spans="1:19" ht="44" customHeight="1">
      <c r="A104" s="5" t="s">
        <v>14</v>
      </c>
      <c r="B104" s="5" t="s">
        <v>370</v>
      </c>
      <c r="C104" s="5" t="s">
        <v>371</v>
      </c>
      <c r="D104" s="6">
        <v>175000000</v>
      </c>
      <c r="E104" s="8">
        <v>46111.343055555553</v>
      </c>
      <c r="F104" s="16">
        <v>46128.666666666657</v>
      </c>
      <c r="G104" s="5" t="s">
        <v>27</v>
      </c>
      <c r="H104" s="5" t="s">
        <v>1091</v>
      </c>
      <c r="I104" s="5" t="s">
        <v>837</v>
      </c>
      <c r="J104" s="5" t="s">
        <v>838</v>
      </c>
      <c r="K104" s="5" t="s">
        <v>113</v>
      </c>
      <c r="L104" s="5" t="s">
        <v>113</v>
      </c>
      <c r="M104" s="5" t="s">
        <v>99</v>
      </c>
      <c r="N104" s="5" t="s">
        <v>839</v>
      </c>
      <c r="O104" s="5" t="s">
        <v>840</v>
      </c>
      <c r="P104" s="5" t="s">
        <v>841</v>
      </c>
      <c r="Q104" s="5" t="s">
        <v>372</v>
      </c>
      <c r="R104" s="5" t="s">
        <v>1092</v>
      </c>
      <c r="S104" s="7" t="s">
        <v>375</v>
      </c>
    </row>
    <row r="105" spans="1:19" ht="44" customHeight="1">
      <c r="A105" s="5" t="s">
        <v>14</v>
      </c>
      <c r="B105" s="5" t="s">
        <v>370</v>
      </c>
      <c r="C105" s="5" t="s">
        <v>371</v>
      </c>
      <c r="D105" s="6">
        <v>175000000</v>
      </c>
      <c r="E105" s="8">
        <v>46111.344444444447</v>
      </c>
      <c r="F105" s="16">
        <v>46128.666666666657</v>
      </c>
      <c r="G105" s="5" t="s">
        <v>27</v>
      </c>
      <c r="H105" s="5" t="s">
        <v>705</v>
      </c>
      <c r="I105" s="5" t="s">
        <v>837</v>
      </c>
      <c r="J105" s="5" t="s">
        <v>838</v>
      </c>
      <c r="K105" s="5" t="s">
        <v>113</v>
      </c>
      <c r="L105" s="5" t="s">
        <v>113</v>
      </c>
      <c r="M105" s="5" t="s">
        <v>99</v>
      </c>
      <c r="N105" s="5" t="s">
        <v>839</v>
      </c>
      <c r="O105" s="5" t="s">
        <v>840</v>
      </c>
      <c r="P105" s="5" t="s">
        <v>841</v>
      </c>
      <c r="Q105" s="5" t="s">
        <v>372</v>
      </c>
      <c r="R105" s="5" t="s">
        <v>1093</v>
      </c>
      <c r="S105" s="7" t="s">
        <v>374</v>
      </c>
    </row>
    <row r="106" spans="1:19" ht="44" customHeight="1">
      <c r="A106" s="5" t="s">
        <v>14</v>
      </c>
      <c r="B106" s="5" t="s">
        <v>370</v>
      </c>
      <c r="C106" s="5" t="s">
        <v>371</v>
      </c>
      <c r="D106" s="6">
        <v>175000000</v>
      </c>
      <c r="E106" s="8">
        <v>46111.349305555559</v>
      </c>
      <c r="F106" s="16">
        <v>46128.666666666657</v>
      </c>
      <c r="G106" s="5" t="s">
        <v>27</v>
      </c>
      <c r="H106" s="5" t="s">
        <v>1094</v>
      </c>
      <c r="I106" s="5" t="s">
        <v>837</v>
      </c>
      <c r="J106" s="5" t="s">
        <v>838</v>
      </c>
      <c r="K106" s="5" t="s">
        <v>113</v>
      </c>
      <c r="L106" s="5" t="s">
        <v>113</v>
      </c>
      <c r="M106" s="5" t="s">
        <v>99</v>
      </c>
      <c r="N106" s="5" t="s">
        <v>839</v>
      </c>
      <c r="O106" s="5" t="s">
        <v>840</v>
      </c>
      <c r="P106" s="5" t="s">
        <v>841</v>
      </c>
      <c r="Q106" s="5" t="s">
        <v>372</v>
      </c>
      <c r="R106" s="5" t="s">
        <v>1095</v>
      </c>
      <c r="S106" s="7" t="s">
        <v>373</v>
      </c>
    </row>
    <row r="107" spans="1:19" ht="44" customHeight="1">
      <c r="A107" s="5" t="s">
        <v>14</v>
      </c>
      <c r="B107" s="5" t="s">
        <v>1096</v>
      </c>
      <c r="C107" s="5" t="s">
        <v>614</v>
      </c>
      <c r="D107" s="6">
        <v>160000000</v>
      </c>
      <c r="E107" s="8">
        <v>46112.670138888891</v>
      </c>
      <c r="F107" s="16">
        <v>46133.416666666657</v>
      </c>
      <c r="G107" s="5" t="s">
        <v>27</v>
      </c>
      <c r="H107" s="5" t="s">
        <v>113</v>
      </c>
      <c r="I107" s="5" t="s">
        <v>847</v>
      </c>
      <c r="J107" s="5" t="s">
        <v>848</v>
      </c>
      <c r="K107" s="5" t="s">
        <v>868</v>
      </c>
      <c r="L107" s="5" t="s">
        <v>113</v>
      </c>
      <c r="M107" s="5" t="s">
        <v>853</v>
      </c>
      <c r="N107" s="5" t="s">
        <v>839</v>
      </c>
      <c r="O107" s="5" t="s">
        <v>840</v>
      </c>
      <c r="P107" s="5" t="s">
        <v>841</v>
      </c>
      <c r="Q107" s="5" t="s">
        <v>372</v>
      </c>
      <c r="R107" s="5" t="s">
        <v>843</v>
      </c>
      <c r="S107" s="7" t="s">
        <v>1097</v>
      </c>
    </row>
    <row r="108" spans="1:19" ht="44" customHeight="1">
      <c r="A108" s="5" t="s">
        <v>14</v>
      </c>
      <c r="B108" s="5" t="s">
        <v>1098</v>
      </c>
      <c r="C108" s="5" t="s">
        <v>614</v>
      </c>
      <c r="D108" s="6">
        <v>400000000</v>
      </c>
      <c r="E108" s="8">
        <v>46118.467361111107</v>
      </c>
      <c r="F108" s="16">
        <v>46139.416666666657</v>
      </c>
      <c r="G108" s="5" t="s">
        <v>27</v>
      </c>
      <c r="H108" s="5" t="s">
        <v>1099</v>
      </c>
      <c r="I108" s="5" t="s">
        <v>1037</v>
      </c>
      <c r="J108" s="5" t="s">
        <v>1038</v>
      </c>
      <c r="K108" s="5" t="s">
        <v>113</v>
      </c>
      <c r="L108" s="5" t="s">
        <v>113</v>
      </c>
      <c r="M108" s="5" t="s">
        <v>853</v>
      </c>
      <c r="N108" s="5" t="s">
        <v>839</v>
      </c>
      <c r="O108" s="5" t="s">
        <v>840</v>
      </c>
      <c r="P108" s="5" t="s">
        <v>841</v>
      </c>
      <c r="Q108" s="5" t="s">
        <v>372</v>
      </c>
      <c r="R108" s="5" t="s">
        <v>1100</v>
      </c>
      <c r="S108" s="7" t="s">
        <v>1101</v>
      </c>
    </row>
    <row r="109" spans="1:19" ht="44" customHeight="1">
      <c r="A109" s="5" t="s">
        <v>14</v>
      </c>
      <c r="B109" s="5" t="s">
        <v>1102</v>
      </c>
      <c r="C109" s="5" t="s">
        <v>1103</v>
      </c>
      <c r="D109" s="6">
        <v>50000000</v>
      </c>
      <c r="E109" s="8">
        <v>46121.61041666667</v>
      </c>
      <c r="F109" s="16">
        <v>46136.61041666667</v>
      </c>
      <c r="G109" s="5" t="s">
        <v>27</v>
      </c>
      <c r="H109" s="5" t="s">
        <v>113</v>
      </c>
      <c r="I109" s="5" t="s">
        <v>1037</v>
      </c>
      <c r="J109" s="5" t="s">
        <v>1038</v>
      </c>
      <c r="K109" s="5" t="s">
        <v>113</v>
      </c>
      <c r="L109" s="5" t="s">
        <v>113</v>
      </c>
      <c r="M109" s="5" t="s">
        <v>853</v>
      </c>
      <c r="N109" s="5" t="s">
        <v>839</v>
      </c>
      <c r="O109" s="5" t="s">
        <v>841</v>
      </c>
      <c r="P109" s="5" t="s">
        <v>841</v>
      </c>
      <c r="Q109" s="5" t="s">
        <v>362</v>
      </c>
      <c r="R109" s="5" t="s">
        <v>843</v>
      </c>
      <c r="S109" s="7" t="s">
        <v>1104</v>
      </c>
    </row>
    <row r="110" spans="1:19" ht="44" customHeight="1">
      <c r="A110" s="5" t="s">
        <v>14</v>
      </c>
      <c r="B110" s="5" t="s">
        <v>367</v>
      </c>
      <c r="C110" s="5" t="s">
        <v>368</v>
      </c>
      <c r="D110" s="6">
        <v>199447000</v>
      </c>
      <c r="E110" s="8">
        <v>46125.581250000003</v>
      </c>
      <c r="F110" s="16">
        <v>46136.625</v>
      </c>
      <c r="G110" s="5" t="s">
        <v>27</v>
      </c>
      <c r="H110" s="5" t="s">
        <v>786</v>
      </c>
      <c r="I110" s="5" t="s">
        <v>847</v>
      </c>
      <c r="J110" s="5" t="s">
        <v>848</v>
      </c>
      <c r="K110" s="5" t="s">
        <v>868</v>
      </c>
      <c r="L110" s="5" t="s">
        <v>113</v>
      </c>
      <c r="M110" s="5" t="s">
        <v>853</v>
      </c>
      <c r="N110" s="5" t="s">
        <v>893</v>
      </c>
      <c r="O110" s="5" t="s">
        <v>840</v>
      </c>
      <c r="P110" s="5" t="s">
        <v>841</v>
      </c>
      <c r="Q110" s="5" t="s">
        <v>362</v>
      </c>
      <c r="R110" s="5" t="s">
        <v>843</v>
      </c>
      <c r="S110" s="7" t="s">
        <v>369</v>
      </c>
    </row>
    <row r="111" spans="1:19" ht="44" customHeight="1">
      <c r="A111" s="5" t="s">
        <v>14</v>
      </c>
      <c r="B111" s="5" t="s">
        <v>740</v>
      </c>
      <c r="C111" s="5" t="s">
        <v>365</v>
      </c>
      <c r="D111" s="6">
        <v>931000000</v>
      </c>
      <c r="E111" s="8">
        <v>46126.592361111107</v>
      </c>
      <c r="F111" s="16">
        <v>46168.458333333343</v>
      </c>
      <c r="G111" s="5" t="s">
        <v>27</v>
      </c>
      <c r="H111" s="5" t="s">
        <v>736</v>
      </c>
      <c r="I111" s="14" t="s">
        <v>1040</v>
      </c>
      <c r="J111" s="5" t="s">
        <v>1041</v>
      </c>
      <c r="K111" s="5" t="s">
        <v>1105</v>
      </c>
      <c r="L111" s="5" t="s">
        <v>113</v>
      </c>
      <c r="M111" s="5" t="s">
        <v>99</v>
      </c>
      <c r="N111" s="5" t="s">
        <v>893</v>
      </c>
      <c r="O111" s="5" t="s">
        <v>840</v>
      </c>
      <c r="P111" s="5" t="s">
        <v>841</v>
      </c>
      <c r="Q111" s="5" t="s">
        <v>362</v>
      </c>
      <c r="R111" s="5" t="s">
        <v>843</v>
      </c>
      <c r="S111" s="7" t="s">
        <v>741</v>
      </c>
    </row>
    <row r="112" spans="1:19" ht="44" customHeight="1">
      <c r="A112" s="5" t="s">
        <v>14</v>
      </c>
      <c r="B112" s="5" t="s">
        <v>420</v>
      </c>
      <c r="C112" s="5" t="s">
        <v>421</v>
      </c>
      <c r="D112" s="6">
        <v>423502000</v>
      </c>
      <c r="E112" s="8">
        <v>46129.834722222222</v>
      </c>
      <c r="F112" s="16">
        <v>46150.583333333343</v>
      </c>
      <c r="G112" s="5" t="s">
        <v>27</v>
      </c>
      <c r="H112" s="5" t="s">
        <v>1106</v>
      </c>
      <c r="I112" s="14" t="s">
        <v>1040</v>
      </c>
      <c r="J112" s="5" t="s">
        <v>1041</v>
      </c>
      <c r="K112" s="5" t="s">
        <v>875</v>
      </c>
      <c r="L112" s="5" t="s">
        <v>1015</v>
      </c>
      <c r="M112" s="5" t="s">
        <v>853</v>
      </c>
      <c r="N112" s="5" t="s">
        <v>893</v>
      </c>
      <c r="O112" s="5" t="s">
        <v>841</v>
      </c>
      <c r="P112" s="5" t="s">
        <v>841</v>
      </c>
      <c r="Q112" s="5" t="s">
        <v>362</v>
      </c>
      <c r="R112" s="5" t="s">
        <v>843</v>
      </c>
      <c r="S112" s="7" t="s">
        <v>707</v>
      </c>
    </row>
    <row r="113" spans="1:19" ht="44" customHeight="1">
      <c r="A113" s="5" t="s">
        <v>14</v>
      </c>
      <c r="B113" s="5" t="s">
        <v>474</v>
      </c>
      <c r="C113" s="5" t="s">
        <v>409</v>
      </c>
      <c r="D113" s="6">
        <v>184915000</v>
      </c>
      <c r="E113" s="8">
        <v>46132.425000000003</v>
      </c>
      <c r="F113" s="16">
        <v>46157.666666666657</v>
      </c>
      <c r="G113" s="5" t="s">
        <v>27</v>
      </c>
      <c r="H113" s="5" t="s">
        <v>1107</v>
      </c>
      <c r="I113" s="5" t="s">
        <v>1037</v>
      </c>
      <c r="J113" s="5" t="s">
        <v>1038</v>
      </c>
      <c r="K113" s="5" t="s">
        <v>113</v>
      </c>
      <c r="L113" s="5" t="s">
        <v>113</v>
      </c>
      <c r="M113" s="5" t="s">
        <v>853</v>
      </c>
      <c r="N113" s="5" t="s">
        <v>839</v>
      </c>
      <c r="O113" s="5" t="s">
        <v>113</v>
      </c>
      <c r="P113" s="5" t="s">
        <v>841</v>
      </c>
      <c r="Q113" s="5" t="s">
        <v>362</v>
      </c>
      <c r="R113" s="5" t="s">
        <v>843</v>
      </c>
      <c r="S113" s="7" t="s">
        <v>475</v>
      </c>
    </row>
    <row r="114" spans="1:19" ht="44" customHeight="1">
      <c r="A114" s="5" t="s">
        <v>14</v>
      </c>
      <c r="B114" s="5" t="s">
        <v>50</v>
      </c>
      <c r="C114" s="5" t="s">
        <v>51</v>
      </c>
      <c r="D114" s="6">
        <v>74000000</v>
      </c>
      <c r="E114" s="8">
        <v>46133.451388888891</v>
      </c>
      <c r="F114" s="16">
        <v>46140.708333333343</v>
      </c>
      <c r="G114" s="5" t="s">
        <v>27</v>
      </c>
      <c r="H114" s="5" t="s">
        <v>113</v>
      </c>
      <c r="I114" s="5" t="s">
        <v>1037</v>
      </c>
      <c r="J114" s="5" t="s">
        <v>1038</v>
      </c>
      <c r="K114" s="5" t="s">
        <v>113</v>
      </c>
      <c r="L114" s="5" t="s">
        <v>113</v>
      </c>
      <c r="M114" s="5" t="s">
        <v>113</v>
      </c>
      <c r="N114" s="5" t="s">
        <v>839</v>
      </c>
      <c r="O114" s="5" t="s">
        <v>113</v>
      </c>
      <c r="P114" s="5" t="s">
        <v>841</v>
      </c>
      <c r="Q114" s="5" t="s">
        <v>362</v>
      </c>
      <c r="R114" s="5" t="s">
        <v>874</v>
      </c>
      <c r="S114" s="7" t="s">
        <v>1108</v>
      </c>
    </row>
    <row r="115" spans="1:19" ht="44" customHeight="1">
      <c r="A115" s="5" t="s">
        <v>14</v>
      </c>
      <c r="B115" s="5" t="s">
        <v>50</v>
      </c>
      <c r="C115" s="5" t="s">
        <v>51</v>
      </c>
      <c r="D115" s="6">
        <v>74000000</v>
      </c>
      <c r="E115" s="8">
        <v>46133.614583333343</v>
      </c>
      <c r="F115" s="16">
        <v>46146.625</v>
      </c>
      <c r="G115" s="5" t="s">
        <v>27</v>
      </c>
      <c r="H115" s="5" t="s">
        <v>113</v>
      </c>
      <c r="I115" s="14" t="s">
        <v>1040</v>
      </c>
      <c r="J115" s="5" t="s">
        <v>1041</v>
      </c>
      <c r="K115" s="5" t="s">
        <v>113</v>
      </c>
      <c r="L115" s="5" t="s">
        <v>113</v>
      </c>
      <c r="M115" s="5" t="s">
        <v>853</v>
      </c>
      <c r="N115" s="5" t="s">
        <v>839</v>
      </c>
      <c r="O115" s="5" t="s">
        <v>840</v>
      </c>
      <c r="P115" s="5" t="s">
        <v>841</v>
      </c>
      <c r="Q115" s="5" t="s">
        <v>362</v>
      </c>
      <c r="R115" s="5" t="s">
        <v>1109</v>
      </c>
      <c r="S115" s="7" t="s">
        <v>1110</v>
      </c>
    </row>
    <row r="116" spans="1:19" ht="44" customHeight="1">
      <c r="A116" s="5" t="s">
        <v>14</v>
      </c>
      <c r="B116" s="5" t="s">
        <v>364</v>
      </c>
      <c r="C116" s="5" t="s">
        <v>365</v>
      </c>
      <c r="D116" s="6">
        <v>600820000</v>
      </c>
      <c r="E116" s="8">
        <v>46139.445138888892</v>
      </c>
      <c r="F116" s="16">
        <v>46153.458333333343</v>
      </c>
      <c r="G116" s="5" t="s">
        <v>27</v>
      </c>
      <c r="H116" s="5" t="s">
        <v>784</v>
      </c>
      <c r="I116" s="5" t="s">
        <v>847</v>
      </c>
      <c r="J116" s="5" t="s">
        <v>848</v>
      </c>
      <c r="K116" s="5" t="s">
        <v>868</v>
      </c>
      <c r="L116" s="5" t="s">
        <v>113</v>
      </c>
      <c r="M116" s="5" t="s">
        <v>853</v>
      </c>
      <c r="N116" s="5" t="s">
        <v>893</v>
      </c>
      <c r="O116" s="5" t="s">
        <v>840</v>
      </c>
      <c r="P116" s="5" t="s">
        <v>841</v>
      </c>
      <c r="Q116" s="5" t="s">
        <v>362</v>
      </c>
      <c r="R116" s="5" t="s">
        <v>843</v>
      </c>
      <c r="S116" s="7" t="s">
        <v>366</v>
      </c>
    </row>
    <row r="117" spans="1:19" ht="44" customHeight="1">
      <c r="A117" s="5" t="s">
        <v>14</v>
      </c>
      <c r="B117" s="5" t="s">
        <v>1111</v>
      </c>
      <c r="C117" s="5" t="s">
        <v>1112</v>
      </c>
      <c r="D117" s="6">
        <v>90000000</v>
      </c>
      <c r="E117" s="8">
        <v>46139.738888888889</v>
      </c>
      <c r="F117" s="16">
        <v>46154.738888888889</v>
      </c>
      <c r="G117" s="5" t="s">
        <v>27</v>
      </c>
      <c r="H117" s="5" t="s">
        <v>1113</v>
      </c>
      <c r="I117" s="5" t="s">
        <v>847</v>
      </c>
      <c r="J117" s="5" t="s">
        <v>848</v>
      </c>
      <c r="K117" s="5" t="s">
        <v>849</v>
      </c>
      <c r="L117" s="5" t="s">
        <v>113</v>
      </c>
      <c r="M117" s="5" t="s">
        <v>853</v>
      </c>
      <c r="N117" s="5" t="s">
        <v>839</v>
      </c>
      <c r="O117" s="5" t="s">
        <v>840</v>
      </c>
      <c r="P117" s="5" t="s">
        <v>841</v>
      </c>
      <c r="Q117" s="5" t="s">
        <v>362</v>
      </c>
      <c r="R117" s="5" t="s">
        <v>1114</v>
      </c>
      <c r="S117" s="7" t="s">
        <v>1115</v>
      </c>
    </row>
    <row r="118" spans="1:19" ht="44" customHeight="1">
      <c r="A118" s="5" t="s">
        <v>14</v>
      </c>
      <c r="B118" s="5" t="s">
        <v>749</v>
      </c>
      <c r="C118" s="5" t="s">
        <v>577</v>
      </c>
      <c r="D118" s="6">
        <v>143000000</v>
      </c>
      <c r="E118" s="8">
        <v>46146.458333333343</v>
      </c>
      <c r="F118" s="16">
        <v>46161.458333333343</v>
      </c>
      <c r="G118" s="5" t="s">
        <v>27</v>
      </c>
      <c r="H118" s="5" t="s">
        <v>882</v>
      </c>
      <c r="I118" s="5" t="s">
        <v>1037</v>
      </c>
      <c r="J118" s="5" t="s">
        <v>1038</v>
      </c>
      <c r="K118" s="5" t="s">
        <v>113</v>
      </c>
      <c r="L118" s="5" t="s">
        <v>113</v>
      </c>
      <c r="M118" s="5" t="s">
        <v>853</v>
      </c>
      <c r="N118" s="5" t="s">
        <v>839</v>
      </c>
      <c r="O118" s="5" t="s">
        <v>840</v>
      </c>
      <c r="P118" s="5" t="s">
        <v>841</v>
      </c>
      <c r="Q118" s="5" t="s">
        <v>362</v>
      </c>
      <c r="R118" s="5" t="s">
        <v>1116</v>
      </c>
      <c r="S118" s="7" t="s">
        <v>750</v>
      </c>
    </row>
    <row r="119" spans="1:19" ht="44" customHeight="1">
      <c r="A119" s="5" t="s">
        <v>14</v>
      </c>
      <c r="B119" s="5" t="s">
        <v>1117</v>
      </c>
      <c r="C119" s="5" t="s">
        <v>444</v>
      </c>
      <c r="D119" s="6">
        <v>170000000</v>
      </c>
      <c r="E119" s="8">
        <v>46148.407638888893</v>
      </c>
      <c r="F119" s="16">
        <v>46169.416666666657</v>
      </c>
      <c r="G119" s="5" t="s">
        <v>27</v>
      </c>
      <c r="H119" s="5" t="s">
        <v>113</v>
      </c>
      <c r="I119" s="14" t="s">
        <v>1040</v>
      </c>
      <c r="J119" s="5" t="s">
        <v>1041</v>
      </c>
      <c r="K119" s="5" t="s">
        <v>1118</v>
      </c>
      <c r="L119" s="5" t="s">
        <v>872</v>
      </c>
      <c r="M119" s="5" t="s">
        <v>853</v>
      </c>
      <c r="N119" s="5" t="s">
        <v>839</v>
      </c>
      <c r="O119" s="5" t="s">
        <v>840</v>
      </c>
      <c r="P119" s="5" t="s">
        <v>841</v>
      </c>
      <c r="Q119" s="5" t="s">
        <v>362</v>
      </c>
      <c r="R119" s="5" t="s">
        <v>1119</v>
      </c>
      <c r="S119" s="7" t="s">
        <v>1120</v>
      </c>
    </row>
    <row r="120" spans="1:19" ht="44" customHeight="1">
      <c r="A120" s="5" t="s">
        <v>14</v>
      </c>
      <c r="B120" s="5" t="s">
        <v>1121</v>
      </c>
      <c r="C120" s="5" t="s">
        <v>1122</v>
      </c>
      <c r="D120" s="6">
        <v>111400000</v>
      </c>
      <c r="E120" s="8">
        <v>46148.745138888888</v>
      </c>
      <c r="F120" s="16">
        <v>46163.745138888888</v>
      </c>
      <c r="G120" s="5" t="s">
        <v>27</v>
      </c>
      <c r="H120" s="5" t="s">
        <v>1123</v>
      </c>
      <c r="I120" s="5" t="s">
        <v>1037</v>
      </c>
      <c r="J120" s="5" t="s">
        <v>1038</v>
      </c>
      <c r="K120" s="5" t="s">
        <v>113</v>
      </c>
      <c r="L120" s="5" t="s">
        <v>113</v>
      </c>
      <c r="M120" s="5" t="s">
        <v>853</v>
      </c>
      <c r="N120" s="5" t="s">
        <v>839</v>
      </c>
      <c r="O120" s="5" t="s">
        <v>840</v>
      </c>
      <c r="P120" s="5" t="s">
        <v>841</v>
      </c>
      <c r="Q120" s="5" t="s">
        <v>362</v>
      </c>
      <c r="R120" s="5" t="s">
        <v>1124</v>
      </c>
      <c r="S120" s="7" t="s">
        <v>1125</v>
      </c>
    </row>
    <row r="121" spans="1:19" ht="44" customHeight="1">
      <c r="A121" s="5" t="s">
        <v>14</v>
      </c>
      <c r="B121" s="5" t="s">
        <v>738</v>
      </c>
      <c r="C121" s="5" t="s">
        <v>455</v>
      </c>
      <c r="D121" s="6">
        <v>450000000</v>
      </c>
      <c r="E121" s="8">
        <v>46153.827777777777</v>
      </c>
      <c r="F121" s="16">
        <v>46174.5</v>
      </c>
      <c r="G121" s="5" t="s">
        <v>27</v>
      </c>
      <c r="H121" s="5" t="s">
        <v>736</v>
      </c>
      <c r="I121" s="5" t="s">
        <v>847</v>
      </c>
      <c r="J121" s="5" t="s">
        <v>848</v>
      </c>
      <c r="K121" s="5" t="s">
        <v>1126</v>
      </c>
      <c r="L121" s="5" t="s">
        <v>113</v>
      </c>
      <c r="M121" s="5" t="s">
        <v>99</v>
      </c>
      <c r="N121" s="5" t="s">
        <v>893</v>
      </c>
      <c r="O121" s="5" t="s">
        <v>840</v>
      </c>
      <c r="P121" s="5" t="s">
        <v>841</v>
      </c>
      <c r="Q121" s="5" t="s">
        <v>362</v>
      </c>
      <c r="R121" s="5" t="s">
        <v>1127</v>
      </c>
      <c r="S121" s="7" t="s">
        <v>739</v>
      </c>
    </row>
    <row r="122" spans="1:19" ht="44" customHeight="1">
      <c r="A122" s="5" t="s">
        <v>14</v>
      </c>
      <c r="B122" s="5" t="s">
        <v>1128</v>
      </c>
      <c r="C122" s="5" t="s">
        <v>393</v>
      </c>
      <c r="D122" s="6">
        <v>60000000</v>
      </c>
      <c r="E122" s="8">
        <v>46154.868750000001</v>
      </c>
      <c r="F122" s="16" t="s">
        <v>113</v>
      </c>
      <c r="G122" s="5" t="s">
        <v>27</v>
      </c>
      <c r="H122" s="5" t="s">
        <v>1129</v>
      </c>
      <c r="I122" s="5" t="s">
        <v>837</v>
      </c>
      <c r="J122" s="5" t="s">
        <v>838</v>
      </c>
      <c r="K122" s="5" t="s">
        <v>113</v>
      </c>
      <c r="L122" s="5" t="s">
        <v>113</v>
      </c>
      <c r="M122" s="5" t="s">
        <v>99</v>
      </c>
      <c r="N122" s="5" t="s">
        <v>839</v>
      </c>
      <c r="O122" s="5" t="s">
        <v>840</v>
      </c>
      <c r="P122" s="5" t="s">
        <v>841</v>
      </c>
      <c r="Q122" s="5" t="s">
        <v>362</v>
      </c>
      <c r="R122" s="5" t="s">
        <v>1130</v>
      </c>
      <c r="S122" s="7" t="s">
        <v>1131</v>
      </c>
    </row>
    <row r="123" spans="1:19" ht="44" customHeight="1">
      <c r="A123" s="5" t="s">
        <v>14</v>
      </c>
      <c r="B123" s="5" t="s">
        <v>541</v>
      </c>
      <c r="C123" s="5" t="s">
        <v>393</v>
      </c>
      <c r="D123" s="6">
        <v>60000000</v>
      </c>
      <c r="E123" s="8">
        <v>46154.869444444441</v>
      </c>
      <c r="F123" s="16" t="s">
        <v>113</v>
      </c>
      <c r="G123" s="5" t="s">
        <v>27</v>
      </c>
      <c r="H123" s="5" t="s">
        <v>1014</v>
      </c>
      <c r="I123" s="5" t="s">
        <v>837</v>
      </c>
      <c r="J123" s="5" t="s">
        <v>838</v>
      </c>
      <c r="K123" s="5" t="s">
        <v>113</v>
      </c>
      <c r="L123" s="5" t="s">
        <v>113</v>
      </c>
      <c r="M123" s="5" t="s">
        <v>99</v>
      </c>
      <c r="N123" s="5" t="s">
        <v>839</v>
      </c>
      <c r="O123" s="5" t="s">
        <v>840</v>
      </c>
      <c r="P123" s="5" t="s">
        <v>841</v>
      </c>
      <c r="Q123" s="5" t="s">
        <v>362</v>
      </c>
      <c r="R123" s="5" t="s">
        <v>1132</v>
      </c>
      <c r="S123" s="7" t="s">
        <v>542</v>
      </c>
    </row>
    <row r="124" spans="1:19" ht="44" customHeight="1">
      <c r="A124" s="5" t="s">
        <v>14</v>
      </c>
      <c r="B124" s="5" t="s">
        <v>1133</v>
      </c>
      <c r="C124" s="5" t="s">
        <v>393</v>
      </c>
      <c r="D124" s="6">
        <v>40000000</v>
      </c>
      <c r="E124" s="8">
        <v>46154.869444444441</v>
      </c>
      <c r="F124" s="16" t="s">
        <v>113</v>
      </c>
      <c r="G124" s="5" t="s">
        <v>27</v>
      </c>
      <c r="H124" s="5" t="s">
        <v>1134</v>
      </c>
      <c r="I124" s="5" t="s">
        <v>837</v>
      </c>
      <c r="J124" s="5" t="s">
        <v>838</v>
      </c>
      <c r="K124" s="5" t="s">
        <v>113</v>
      </c>
      <c r="L124" s="5" t="s">
        <v>113</v>
      </c>
      <c r="M124" s="5" t="s">
        <v>99</v>
      </c>
      <c r="N124" s="5" t="s">
        <v>839</v>
      </c>
      <c r="O124" s="5" t="s">
        <v>840</v>
      </c>
      <c r="P124" s="5" t="s">
        <v>841</v>
      </c>
      <c r="Q124" s="5" t="s">
        <v>362</v>
      </c>
      <c r="R124" s="5" t="s">
        <v>1135</v>
      </c>
      <c r="S124" s="7" t="s">
        <v>1136</v>
      </c>
    </row>
    <row r="125" spans="1:19" ht="44" customHeight="1">
      <c r="A125" s="5" t="s">
        <v>14</v>
      </c>
      <c r="B125" s="5" t="s">
        <v>1137</v>
      </c>
      <c r="C125" s="5" t="s">
        <v>1138</v>
      </c>
      <c r="D125" s="6">
        <v>22000000</v>
      </c>
      <c r="E125" s="8">
        <v>46155.482638888891</v>
      </c>
      <c r="F125" s="16">
        <v>46156.5</v>
      </c>
      <c r="G125" s="5" t="s">
        <v>27</v>
      </c>
      <c r="H125" s="5" t="s">
        <v>1139</v>
      </c>
      <c r="I125" s="5" t="s">
        <v>1037</v>
      </c>
      <c r="J125" s="5" t="s">
        <v>1038</v>
      </c>
      <c r="K125" s="5" t="s">
        <v>113</v>
      </c>
      <c r="L125" s="5" t="s">
        <v>113</v>
      </c>
      <c r="M125" s="5" t="s">
        <v>113</v>
      </c>
      <c r="N125" s="5" t="s">
        <v>839</v>
      </c>
      <c r="O125" s="5" t="s">
        <v>113</v>
      </c>
      <c r="P125" s="5" t="s">
        <v>841</v>
      </c>
      <c r="Q125" s="5" t="s">
        <v>695</v>
      </c>
      <c r="R125" s="5" t="s">
        <v>874</v>
      </c>
      <c r="S125" s="7" t="s">
        <v>1140</v>
      </c>
    </row>
    <row r="126" spans="1:19" ht="44" customHeight="1">
      <c r="A126" s="5" t="s">
        <v>14</v>
      </c>
      <c r="B126" s="5" t="s">
        <v>1141</v>
      </c>
      <c r="C126" s="5" t="s">
        <v>961</v>
      </c>
      <c r="D126" s="6">
        <v>12000000</v>
      </c>
      <c r="E126" s="8">
        <v>46161.606249999997</v>
      </c>
      <c r="F126" s="16">
        <v>46161.708333333343</v>
      </c>
      <c r="G126" s="5" t="s">
        <v>27</v>
      </c>
      <c r="H126" s="5" t="s">
        <v>113</v>
      </c>
      <c r="I126" s="5" t="s">
        <v>1037</v>
      </c>
      <c r="J126" s="5" t="s">
        <v>1038</v>
      </c>
      <c r="K126" s="5" t="s">
        <v>113</v>
      </c>
      <c r="L126" s="5" t="s">
        <v>113</v>
      </c>
      <c r="M126" s="5" t="s">
        <v>113</v>
      </c>
      <c r="N126" s="5" t="s">
        <v>839</v>
      </c>
      <c r="O126" s="5" t="s">
        <v>113</v>
      </c>
      <c r="P126" s="5" t="s">
        <v>841</v>
      </c>
      <c r="Q126" s="5" t="s">
        <v>695</v>
      </c>
      <c r="R126" s="5" t="s">
        <v>874</v>
      </c>
      <c r="S126" s="7" t="s">
        <v>1142</v>
      </c>
    </row>
    <row r="127" spans="1:19" ht="44" customHeight="1">
      <c r="A127" s="5" t="s">
        <v>14</v>
      </c>
      <c r="B127" s="5" t="s">
        <v>1141</v>
      </c>
      <c r="C127" s="5" t="s">
        <v>961</v>
      </c>
      <c r="D127" s="6">
        <v>12000000</v>
      </c>
      <c r="E127" s="8">
        <v>46169.386805555558</v>
      </c>
      <c r="F127" s="16">
        <v>46169.416666666657</v>
      </c>
      <c r="G127" s="5" t="s">
        <v>27</v>
      </c>
      <c r="H127" s="5" t="s">
        <v>113</v>
      </c>
      <c r="I127" s="5" t="s">
        <v>1037</v>
      </c>
      <c r="J127" s="5" t="s">
        <v>1038</v>
      </c>
      <c r="K127" s="5" t="s">
        <v>113</v>
      </c>
      <c r="L127" s="5" t="s">
        <v>113</v>
      </c>
      <c r="M127" s="5" t="s">
        <v>113</v>
      </c>
      <c r="N127" s="5" t="s">
        <v>839</v>
      </c>
      <c r="O127" s="5" t="s">
        <v>113</v>
      </c>
      <c r="P127" s="5" t="s">
        <v>841</v>
      </c>
      <c r="Q127" s="5" t="s">
        <v>695</v>
      </c>
      <c r="R127" s="5" t="s">
        <v>874</v>
      </c>
      <c r="S127" s="7" t="s">
        <v>1143</v>
      </c>
    </row>
    <row r="128" spans="1:19" ht="44" customHeight="1">
      <c r="A128" s="5" t="s">
        <v>14</v>
      </c>
      <c r="B128" s="5" t="s">
        <v>774</v>
      </c>
      <c r="C128" s="5" t="s">
        <v>757</v>
      </c>
      <c r="D128" s="6">
        <v>49876000</v>
      </c>
      <c r="E128" s="8">
        <v>46170.78402777778</v>
      </c>
      <c r="F128" s="16">
        <v>46182.416666666657</v>
      </c>
      <c r="G128" s="5" t="s">
        <v>27</v>
      </c>
      <c r="H128" s="5" t="s">
        <v>113</v>
      </c>
      <c r="I128" s="14" t="s">
        <v>1040</v>
      </c>
      <c r="J128" s="5" t="s">
        <v>1041</v>
      </c>
      <c r="K128" s="5" t="s">
        <v>875</v>
      </c>
      <c r="L128" s="5" t="s">
        <v>113</v>
      </c>
      <c r="M128" s="5" t="s">
        <v>113</v>
      </c>
      <c r="N128" s="5" t="s">
        <v>893</v>
      </c>
      <c r="O128" s="5" t="s">
        <v>113</v>
      </c>
      <c r="P128" s="5" t="s">
        <v>841</v>
      </c>
      <c r="Q128" s="5" t="s">
        <v>362</v>
      </c>
      <c r="R128" s="5" t="s">
        <v>874</v>
      </c>
      <c r="S128" s="7" t="s">
        <v>1144</v>
      </c>
    </row>
    <row r="129" spans="1:19" ht="44" customHeight="1">
      <c r="A129" s="5" t="s">
        <v>14</v>
      </c>
      <c r="B129" s="5" t="s">
        <v>1145</v>
      </c>
      <c r="C129" s="5" t="s">
        <v>434</v>
      </c>
      <c r="D129" s="6">
        <v>77000000</v>
      </c>
      <c r="E129" s="8">
        <v>46179.606249999997</v>
      </c>
      <c r="F129" s="16">
        <v>46190.708333333343</v>
      </c>
      <c r="G129" s="5" t="s">
        <v>27</v>
      </c>
      <c r="H129" s="5" t="s">
        <v>113</v>
      </c>
      <c r="I129" s="5" t="s">
        <v>1037</v>
      </c>
      <c r="J129" s="5" t="s">
        <v>1038</v>
      </c>
      <c r="K129" s="5" t="s">
        <v>113</v>
      </c>
      <c r="L129" s="5" t="s">
        <v>113</v>
      </c>
      <c r="M129" s="5" t="s">
        <v>853</v>
      </c>
      <c r="N129" s="5" t="s">
        <v>893</v>
      </c>
      <c r="O129" s="5" t="s">
        <v>840</v>
      </c>
      <c r="P129" s="5" t="s">
        <v>841</v>
      </c>
      <c r="Q129" s="5" t="s">
        <v>362</v>
      </c>
      <c r="R129" s="5" t="s">
        <v>843</v>
      </c>
      <c r="S129" s="7" t="s">
        <v>1146</v>
      </c>
    </row>
    <row r="130" spans="1:19" ht="44" customHeight="1">
      <c r="A130" s="5" t="s">
        <v>14</v>
      </c>
      <c r="B130" s="5" t="s">
        <v>47</v>
      </c>
      <c r="C130" s="5" t="s">
        <v>48</v>
      </c>
      <c r="D130" s="6">
        <v>138000000</v>
      </c>
      <c r="E130" s="8">
        <v>46181.424305555563</v>
      </c>
      <c r="F130" s="16">
        <v>46202.458333333343</v>
      </c>
      <c r="G130" s="5" t="s">
        <v>27</v>
      </c>
      <c r="H130" s="5" t="s">
        <v>810</v>
      </c>
      <c r="I130" s="5" t="s">
        <v>837</v>
      </c>
      <c r="J130" s="5" t="s">
        <v>838</v>
      </c>
      <c r="K130" s="5" t="s">
        <v>113</v>
      </c>
      <c r="L130" s="5" t="s">
        <v>113</v>
      </c>
      <c r="M130" s="5" t="s">
        <v>99</v>
      </c>
      <c r="N130" s="5" t="s">
        <v>839</v>
      </c>
      <c r="O130" s="5" t="s">
        <v>840</v>
      </c>
      <c r="P130" s="5" t="s">
        <v>841</v>
      </c>
      <c r="Q130" s="5" t="s">
        <v>362</v>
      </c>
      <c r="R130" s="5" t="s">
        <v>1147</v>
      </c>
      <c r="S130" s="7" t="s">
        <v>470</v>
      </c>
    </row>
    <row r="131" spans="1:19" ht="44" customHeight="1">
      <c r="A131" s="5" t="s">
        <v>14</v>
      </c>
      <c r="B131" s="5" t="s">
        <v>795</v>
      </c>
      <c r="C131" s="5" t="s">
        <v>472</v>
      </c>
      <c r="D131" s="6">
        <v>94950000</v>
      </c>
      <c r="E131" s="8">
        <v>46182.636805555558</v>
      </c>
      <c r="F131" s="16">
        <v>46183.666666666657</v>
      </c>
      <c r="G131" s="5" t="s">
        <v>27</v>
      </c>
      <c r="H131" s="5" t="s">
        <v>793</v>
      </c>
      <c r="I131" s="14" t="s">
        <v>1040</v>
      </c>
      <c r="J131" s="5" t="s">
        <v>1041</v>
      </c>
      <c r="K131" s="5" t="s">
        <v>875</v>
      </c>
      <c r="L131" s="5" t="s">
        <v>113</v>
      </c>
      <c r="M131" s="5" t="s">
        <v>113</v>
      </c>
      <c r="N131" s="5" t="s">
        <v>893</v>
      </c>
      <c r="O131" s="5" t="s">
        <v>113</v>
      </c>
      <c r="P131" s="5" t="s">
        <v>841</v>
      </c>
      <c r="Q131" s="5" t="s">
        <v>695</v>
      </c>
      <c r="R131" s="5" t="s">
        <v>874</v>
      </c>
      <c r="S131" s="7" t="s">
        <v>796</v>
      </c>
    </row>
    <row r="132" spans="1:19" ht="44" customHeight="1">
      <c r="A132" s="5" t="s">
        <v>14</v>
      </c>
      <c r="B132" s="5" t="s">
        <v>774</v>
      </c>
      <c r="C132" s="5" t="s">
        <v>757</v>
      </c>
      <c r="D132" s="6">
        <v>49876000</v>
      </c>
      <c r="E132" s="8">
        <v>46188.418055555558</v>
      </c>
      <c r="F132" s="16">
        <v>46199.416666666657</v>
      </c>
      <c r="G132" s="5" t="s">
        <v>27</v>
      </c>
      <c r="H132" s="5" t="s">
        <v>113</v>
      </c>
      <c r="I132" s="14" t="s">
        <v>1040</v>
      </c>
      <c r="J132" s="5" t="s">
        <v>1041</v>
      </c>
      <c r="K132" s="5" t="s">
        <v>875</v>
      </c>
      <c r="L132" s="5" t="s">
        <v>113</v>
      </c>
      <c r="M132" s="5" t="s">
        <v>853</v>
      </c>
      <c r="N132" s="5" t="s">
        <v>893</v>
      </c>
      <c r="O132" s="5" t="s">
        <v>840</v>
      </c>
      <c r="P132" s="5" t="s">
        <v>841</v>
      </c>
      <c r="Q132" s="5" t="s">
        <v>362</v>
      </c>
      <c r="R132" s="5" t="s">
        <v>1148</v>
      </c>
      <c r="S132" s="7" t="s">
        <v>775</v>
      </c>
    </row>
    <row r="133" spans="1:19" ht="44" customHeight="1">
      <c r="A133" s="5" t="s">
        <v>14</v>
      </c>
      <c r="B133" s="5" t="s">
        <v>1149</v>
      </c>
      <c r="C133" s="5" t="s">
        <v>54</v>
      </c>
      <c r="D133" s="6">
        <v>200000000</v>
      </c>
      <c r="E133" s="8">
        <v>46190.554861111108</v>
      </c>
      <c r="F133" s="16">
        <v>46203.75</v>
      </c>
      <c r="G133" s="5" t="s">
        <v>27</v>
      </c>
      <c r="H133" s="5" t="s">
        <v>113</v>
      </c>
      <c r="I133" s="14" t="s">
        <v>1040</v>
      </c>
      <c r="J133" s="5" t="s">
        <v>1041</v>
      </c>
      <c r="K133" s="5" t="s">
        <v>875</v>
      </c>
      <c r="L133" s="5" t="s">
        <v>113</v>
      </c>
      <c r="M133" s="5" t="s">
        <v>113</v>
      </c>
      <c r="N133" s="5" t="s">
        <v>839</v>
      </c>
      <c r="O133" s="5" t="s">
        <v>113</v>
      </c>
      <c r="P133" s="5" t="s">
        <v>841</v>
      </c>
      <c r="Q133" s="5" t="s">
        <v>362</v>
      </c>
      <c r="R133" s="5" t="s">
        <v>874</v>
      </c>
      <c r="S133" s="7" t="s">
        <v>1150</v>
      </c>
    </row>
    <row r="134" spans="1:19" ht="44" customHeight="1">
      <c r="A134" s="5" t="s">
        <v>14</v>
      </c>
      <c r="B134" s="5" t="s">
        <v>1151</v>
      </c>
      <c r="C134" s="5" t="s">
        <v>808</v>
      </c>
      <c r="D134" s="6">
        <v>124969662</v>
      </c>
      <c r="E134" s="8">
        <v>46192.504166666673</v>
      </c>
      <c r="F134" s="16">
        <v>46209.458333333343</v>
      </c>
      <c r="G134" s="5" t="s">
        <v>27</v>
      </c>
      <c r="H134" s="5" t="s">
        <v>113</v>
      </c>
      <c r="I134" s="5" t="s">
        <v>1037</v>
      </c>
      <c r="J134" s="5" t="s">
        <v>1038</v>
      </c>
      <c r="K134" s="5" t="s">
        <v>113</v>
      </c>
      <c r="L134" s="5" t="s">
        <v>113</v>
      </c>
      <c r="M134" s="5" t="s">
        <v>113</v>
      </c>
      <c r="N134" s="5" t="s">
        <v>839</v>
      </c>
      <c r="O134" s="5" t="s">
        <v>113</v>
      </c>
      <c r="P134" s="5" t="s">
        <v>841</v>
      </c>
      <c r="Q134" s="5" t="s">
        <v>362</v>
      </c>
      <c r="R134" s="5" t="s">
        <v>874</v>
      </c>
      <c r="S134" s="7" t="s">
        <v>1152</v>
      </c>
    </row>
    <row r="135" spans="1:19" ht="44" customHeight="1">
      <c r="A135" s="5" t="s">
        <v>14</v>
      </c>
      <c r="B135" s="5" t="s">
        <v>807</v>
      </c>
      <c r="C135" s="5" t="s">
        <v>808</v>
      </c>
      <c r="D135" s="6">
        <v>124969662</v>
      </c>
      <c r="E135" s="8">
        <v>46192.526388888888</v>
      </c>
      <c r="F135" s="16">
        <v>46209.458333333343</v>
      </c>
      <c r="G135" s="5" t="s">
        <v>27</v>
      </c>
      <c r="H135" s="5" t="s">
        <v>805</v>
      </c>
      <c r="I135" s="5" t="s">
        <v>837</v>
      </c>
      <c r="J135" s="5" t="s">
        <v>838</v>
      </c>
      <c r="K135" s="5" t="s">
        <v>113</v>
      </c>
      <c r="L135" s="5" t="s">
        <v>113</v>
      </c>
      <c r="M135" s="5" t="s">
        <v>99</v>
      </c>
      <c r="N135" s="5" t="s">
        <v>839</v>
      </c>
      <c r="O135" s="5" t="s">
        <v>840</v>
      </c>
      <c r="P135" s="5" t="s">
        <v>841</v>
      </c>
      <c r="Q135" s="5" t="s">
        <v>362</v>
      </c>
      <c r="R135" s="5" t="s">
        <v>1153</v>
      </c>
      <c r="S135" s="7" t="s">
        <v>809</v>
      </c>
    </row>
    <row r="136" spans="1:19" ht="44" customHeight="1">
      <c r="A136" s="5" t="s">
        <v>14</v>
      </c>
      <c r="B136" s="5" t="s">
        <v>1154</v>
      </c>
      <c r="C136" s="5" t="s">
        <v>434</v>
      </c>
      <c r="D136" s="6">
        <v>77000000</v>
      </c>
      <c r="E136" s="8">
        <v>46192.84375</v>
      </c>
      <c r="F136" s="16">
        <v>46203.458333333343</v>
      </c>
      <c r="G136" s="5" t="s">
        <v>27</v>
      </c>
      <c r="H136" s="5" t="s">
        <v>113</v>
      </c>
      <c r="I136" s="5" t="s">
        <v>1037</v>
      </c>
      <c r="J136" s="5" t="s">
        <v>1038</v>
      </c>
      <c r="K136" s="5" t="s">
        <v>113</v>
      </c>
      <c r="L136" s="5" t="s">
        <v>113</v>
      </c>
      <c r="M136" s="5" t="s">
        <v>853</v>
      </c>
      <c r="N136" s="5" t="s">
        <v>893</v>
      </c>
      <c r="O136" s="5" t="s">
        <v>840</v>
      </c>
      <c r="P136" s="5" t="s">
        <v>841</v>
      </c>
      <c r="Q136" s="5" t="s">
        <v>362</v>
      </c>
      <c r="R136" s="5" t="s">
        <v>843</v>
      </c>
      <c r="S136" s="7" t="s">
        <v>1155</v>
      </c>
    </row>
    <row r="137" spans="1:19" ht="44" customHeight="1">
      <c r="A137" s="5" t="s">
        <v>14</v>
      </c>
      <c r="B137" s="5" t="s">
        <v>53</v>
      </c>
      <c r="C137" s="5" t="s">
        <v>54</v>
      </c>
      <c r="D137" s="6">
        <v>201830000</v>
      </c>
      <c r="E137" s="8">
        <v>46199.688888888893</v>
      </c>
      <c r="F137" s="16">
        <v>46217.416666666657</v>
      </c>
      <c r="G137" s="5" t="s">
        <v>27</v>
      </c>
      <c r="H137" s="5" t="s">
        <v>113</v>
      </c>
      <c r="I137" s="14" t="s">
        <v>1040</v>
      </c>
      <c r="J137" s="5" t="s">
        <v>1041</v>
      </c>
      <c r="K137" s="5" t="s">
        <v>875</v>
      </c>
      <c r="L137" s="5" t="s">
        <v>1015</v>
      </c>
      <c r="M137" s="5" t="s">
        <v>853</v>
      </c>
      <c r="N137" s="5" t="s">
        <v>839</v>
      </c>
      <c r="O137" s="5" t="s">
        <v>840</v>
      </c>
      <c r="P137" s="5" t="s">
        <v>841</v>
      </c>
      <c r="Q137" s="5" t="s">
        <v>362</v>
      </c>
      <c r="R137" s="5" t="s">
        <v>1156</v>
      </c>
      <c r="S137" s="7" t="s">
        <v>1157</v>
      </c>
    </row>
    <row r="138" spans="1:19" ht="44" customHeight="1">
      <c r="A138" s="5" t="s">
        <v>14</v>
      </c>
      <c r="B138" s="5" t="s">
        <v>1158</v>
      </c>
      <c r="C138" s="5" t="s">
        <v>1159</v>
      </c>
      <c r="D138" s="6">
        <v>50000000</v>
      </c>
      <c r="E138" s="8">
        <v>46204.436111111107</v>
      </c>
      <c r="F138" s="16">
        <v>46216.625</v>
      </c>
      <c r="G138" s="5" t="s">
        <v>27</v>
      </c>
      <c r="H138" s="5" t="s">
        <v>113</v>
      </c>
      <c r="I138" s="5" t="s">
        <v>847</v>
      </c>
      <c r="J138" s="5" t="s">
        <v>848</v>
      </c>
      <c r="K138" s="5" t="s">
        <v>113</v>
      </c>
      <c r="L138" s="5" t="s">
        <v>872</v>
      </c>
      <c r="M138" s="5" t="s">
        <v>99</v>
      </c>
      <c r="N138" s="5" t="s">
        <v>839</v>
      </c>
      <c r="O138" s="5" t="s">
        <v>840</v>
      </c>
      <c r="P138" s="5" t="s">
        <v>841</v>
      </c>
      <c r="Q138" s="5" t="s">
        <v>362</v>
      </c>
      <c r="R138" s="5" t="s">
        <v>843</v>
      </c>
      <c r="S138" s="7" t="s">
        <v>1160</v>
      </c>
    </row>
    <row r="139" spans="1:19" ht="44" customHeight="1">
      <c r="A139" s="5" t="s">
        <v>14</v>
      </c>
      <c r="B139" s="5" t="s">
        <v>1161</v>
      </c>
      <c r="C139" s="5" t="s">
        <v>798</v>
      </c>
      <c r="D139" s="6">
        <v>150000000</v>
      </c>
      <c r="E139" s="8">
        <v>46206.434027777781</v>
      </c>
      <c r="F139" s="16">
        <v>46217.416666666657</v>
      </c>
      <c r="G139" s="5" t="s">
        <v>27</v>
      </c>
      <c r="H139" s="5" t="s">
        <v>113</v>
      </c>
      <c r="I139" s="14" t="s">
        <v>1040</v>
      </c>
      <c r="J139" s="5" t="s">
        <v>1041</v>
      </c>
      <c r="K139" s="5" t="s">
        <v>875</v>
      </c>
      <c r="L139" s="5" t="s">
        <v>113</v>
      </c>
      <c r="M139" s="5" t="s">
        <v>853</v>
      </c>
      <c r="N139" s="5" t="s">
        <v>839</v>
      </c>
      <c r="O139" s="5" t="s">
        <v>840</v>
      </c>
      <c r="P139" s="5" t="s">
        <v>841</v>
      </c>
      <c r="Q139" s="5" t="s">
        <v>362</v>
      </c>
      <c r="R139" s="5" t="s">
        <v>843</v>
      </c>
      <c r="S139" s="7" t="s">
        <v>1162</v>
      </c>
    </row>
    <row r="140" spans="1:19" ht="44" customHeight="1">
      <c r="A140" s="5" t="s">
        <v>14</v>
      </c>
      <c r="B140" s="5" t="s">
        <v>1163</v>
      </c>
      <c r="C140" s="5" t="s">
        <v>1164</v>
      </c>
      <c r="D140" s="6">
        <v>90000000</v>
      </c>
      <c r="E140" s="8">
        <v>46210.686805555553</v>
      </c>
      <c r="F140" s="16">
        <v>46224.5</v>
      </c>
      <c r="G140" s="5" t="s">
        <v>27</v>
      </c>
      <c r="H140" s="5" t="s">
        <v>113</v>
      </c>
      <c r="I140" s="14" t="s">
        <v>1040</v>
      </c>
      <c r="J140" s="5" t="s">
        <v>1041</v>
      </c>
      <c r="K140" s="5" t="s">
        <v>875</v>
      </c>
      <c r="L140" s="5" t="s">
        <v>113</v>
      </c>
      <c r="M140" s="5" t="s">
        <v>99</v>
      </c>
      <c r="N140" s="5" t="s">
        <v>839</v>
      </c>
      <c r="O140" s="5" t="s">
        <v>840</v>
      </c>
      <c r="P140" s="5" t="s">
        <v>841</v>
      </c>
      <c r="Q140" s="5" t="s">
        <v>362</v>
      </c>
      <c r="R140" s="5" t="s">
        <v>1165</v>
      </c>
      <c r="S140" s="7" t="s">
        <v>1166</v>
      </c>
    </row>
  </sheetData>
  <mergeCells count="5">
    <mergeCell ref="A42:S42"/>
    <mergeCell ref="A1:S1"/>
    <mergeCell ref="A3:S3"/>
    <mergeCell ref="A2:S2"/>
    <mergeCell ref="A72:S72"/>
  </mergeCells>
  <phoneticPr fontId="10" type="noConversion"/>
  <hyperlinks>
    <hyperlink ref="S5" r:id="rId1" xr:uid="{00000000-0004-0000-0300-000000000000}"/>
    <hyperlink ref="S6" r:id="rId2" xr:uid="{00000000-0004-0000-0300-000001000000}"/>
    <hyperlink ref="S7" r:id="rId3" xr:uid="{00000000-0004-0000-0300-000002000000}"/>
    <hyperlink ref="S8" r:id="rId4" xr:uid="{00000000-0004-0000-0300-000003000000}"/>
    <hyperlink ref="S9" r:id="rId5" xr:uid="{00000000-0004-0000-0300-000004000000}"/>
    <hyperlink ref="S10" r:id="rId6" xr:uid="{00000000-0004-0000-0300-000005000000}"/>
    <hyperlink ref="S11" r:id="rId7" xr:uid="{00000000-0004-0000-0300-000006000000}"/>
    <hyperlink ref="S12" r:id="rId8" xr:uid="{00000000-0004-0000-0300-000007000000}"/>
    <hyperlink ref="S13" r:id="rId9" xr:uid="{00000000-0004-0000-0300-000008000000}"/>
    <hyperlink ref="S14" r:id="rId10" xr:uid="{00000000-0004-0000-0300-000009000000}"/>
    <hyperlink ref="S15" r:id="rId11" xr:uid="{00000000-0004-0000-0300-00000A000000}"/>
    <hyperlink ref="S16" r:id="rId12" xr:uid="{00000000-0004-0000-0300-00000B000000}"/>
    <hyperlink ref="S17" r:id="rId13" xr:uid="{00000000-0004-0000-0300-00000C000000}"/>
    <hyperlink ref="S18" r:id="rId14" xr:uid="{00000000-0004-0000-0300-00000D000000}"/>
    <hyperlink ref="S19" r:id="rId15" xr:uid="{00000000-0004-0000-0300-00000E000000}"/>
    <hyperlink ref="S20" r:id="rId16" xr:uid="{00000000-0004-0000-0300-00000F000000}"/>
    <hyperlink ref="S21" r:id="rId17" xr:uid="{00000000-0004-0000-0300-000010000000}"/>
    <hyperlink ref="S22" r:id="rId18" xr:uid="{00000000-0004-0000-0300-000011000000}"/>
    <hyperlink ref="S23" r:id="rId19" xr:uid="{00000000-0004-0000-0300-000012000000}"/>
    <hyperlink ref="S24" r:id="rId20" xr:uid="{00000000-0004-0000-0300-000013000000}"/>
    <hyperlink ref="S25" r:id="rId21" xr:uid="{00000000-0004-0000-0300-000014000000}"/>
    <hyperlink ref="S26" r:id="rId22" xr:uid="{00000000-0004-0000-0300-000015000000}"/>
    <hyperlink ref="S27" r:id="rId23" xr:uid="{00000000-0004-0000-0300-000016000000}"/>
    <hyperlink ref="S28" r:id="rId24" xr:uid="{00000000-0004-0000-0300-000017000000}"/>
    <hyperlink ref="S29" r:id="rId25" xr:uid="{00000000-0004-0000-0300-000018000000}"/>
    <hyperlink ref="S30" r:id="rId26" xr:uid="{00000000-0004-0000-0300-000019000000}"/>
    <hyperlink ref="S31" r:id="rId27" xr:uid="{00000000-0004-0000-0300-00001A000000}"/>
    <hyperlink ref="S32" r:id="rId28" xr:uid="{00000000-0004-0000-0300-00001B000000}"/>
    <hyperlink ref="S33" r:id="rId29" xr:uid="{00000000-0004-0000-0300-00001C000000}"/>
    <hyperlink ref="S34" r:id="rId30" xr:uid="{00000000-0004-0000-0300-00001D000000}"/>
    <hyperlink ref="S35" r:id="rId31" xr:uid="{00000000-0004-0000-0300-00001E000000}"/>
    <hyperlink ref="S36" r:id="rId32" xr:uid="{00000000-0004-0000-0300-00001F000000}"/>
    <hyperlink ref="S37" r:id="rId33" xr:uid="{00000000-0004-0000-0300-000020000000}"/>
    <hyperlink ref="S38" r:id="rId34" xr:uid="{00000000-0004-0000-0300-000021000000}"/>
    <hyperlink ref="S39" r:id="rId35" xr:uid="{00000000-0004-0000-0300-000022000000}"/>
    <hyperlink ref="S40" r:id="rId36" xr:uid="{00000000-0004-0000-0300-000023000000}"/>
    <hyperlink ref="S44" r:id="rId37" xr:uid="{00000000-0004-0000-0300-000024000000}"/>
    <hyperlink ref="S45" r:id="rId38" xr:uid="{00000000-0004-0000-0300-000025000000}"/>
    <hyperlink ref="S46" r:id="rId39" xr:uid="{00000000-0004-0000-0300-000026000000}"/>
    <hyperlink ref="S47" r:id="rId40" xr:uid="{00000000-0004-0000-0300-000027000000}"/>
    <hyperlink ref="S48" r:id="rId41" xr:uid="{00000000-0004-0000-0300-000028000000}"/>
    <hyperlink ref="S49" r:id="rId42" xr:uid="{00000000-0004-0000-0300-000029000000}"/>
    <hyperlink ref="S50" r:id="rId43" xr:uid="{00000000-0004-0000-0300-00002A000000}"/>
    <hyperlink ref="S51" r:id="rId44" xr:uid="{00000000-0004-0000-0300-00002B000000}"/>
    <hyperlink ref="S52" r:id="rId45" xr:uid="{00000000-0004-0000-0300-00002C000000}"/>
    <hyperlink ref="S53" r:id="rId46" xr:uid="{00000000-0004-0000-0300-00002D000000}"/>
    <hyperlink ref="S54" r:id="rId47" xr:uid="{00000000-0004-0000-0300-00002E000000}"/>
    <hyperlink ref="S55" r:id="rId48" xr:uid="{00000000-0004-0000-0300-00002F000000}"/>
    <hyperlink ref="S56" r:id="rId49" xr:uid="{00000000-0004-0000-0300-000030000000}"/>
    <hyperlink ref="S57" r:id="rId50" xr:uid="{00000000-0004-0000-0300-000031000000}"/>
    <hyperlink ref="S58" r:id="rId51" xr:uid="{00000000-0004-0000-0300-000032000000}"/>
    <hyperlink ref="S59" r:id="rId52" xr:uid="{00000000-0004-0000-0300-000033000000}"/>
    <hyperlink ref="S60" r:id="rId53" xr:uid="{00000000-0004-0000-0300-000034000000}"/>
    <hyperlink ref="S61" r:id="rId54" xr:uid="{00000000-0004-0000-0300-000035000000}"/>
    <hyperlink ref="S62" r:id="rId55" xr:uid="{00000000-0004-0000-0300-000036000000}"/>
    <hyperlink ref="S63" r:id="rId56" xr:uid="{00000000-0004-0000-0300-000037000000}"/>
    <hyperlink ref="S64" r:id="rId57" xr:uid="{00000000-0004-0000-0300-000038000000}"/>
    <hyperlink ref="S65" r:id="rId58" xr:uid="{00000000-0004-0000-0300-000039000000}"/>
    <hyperlink ref="S66" r:id="rId59" xr:uid="{00000000-0004-0000-0300-00003A000000}"/>
    <hyperlink ref="S67" r:id="rId60" xr:uid="{00000000-0004-0000-0300-00003B000000}"/>
    <hyperlink ref="S68" r:id="rId61" xr:uid="{00000000-0004-0000-0300-00003C000000}"/>
    <hyperlink ref="S69" r:id="rId62" xr:uid="{00000000-0004-0000-0300-00003D000000}"/>
    <hyperlink ref="S70" r:id="rId63" xr:uid="{00000000-0004-0000-0300-00003E000000}"/>
    <hyperlink ref="S74" r:id="rId64" xr:uid="{00000000-0004-0000-0300-00003F000000}"/>
    <hyperlink ref="S75" r:id="rId65" xr:uid="{00000000-0004-0000-0300-000040000000}"/>
    <hyperlink ref="S76" r:id="rId66" xr:uid="{00000000-0004-0000-0300-000041000000}"/>
    <hyperlink ref="S77" r:id="rId67" xr:uid="{00000000-0004-0000-0300-000042000000}"/>
    <hyperlink ref="S78" r:id="rId68" xr:uid="{00000000-0004-0000-0300-000043000000}"/>
    <hyperlink ref="S79" r:id="rId69" xr:uid="{00000000-0004-0000-0300-000044000000}"/>
    <hyperlink ref="S80" r:id="rId70" xr:uid="{00000000-0004-0000-0300-000045000000}"/>
    <hyperlink ref="S81" r:id="rId71" xr:uid="{00000000-0004-0000-0300-000046000000}"/>
    <hyperlink ref="S82" r:id="rId72" xr:uid="{00000000-0004-0000-0300-000047000000}"/>
    <hyperlink ref="S83" r:id="rId73" xr:uid="{00000000-0004-0000-0300-000048000000}"/>
    <hyperlink ref="S84" r:id="rId74" xr:uid="{00000000-0004-0000-0300-000049000000}"/>
    <hyperlink ref="S85" r:id="rId75" xr:uid="{00000000-0004-0000-0300-00004A000000}"/>
    <hyperlink ref="S86" r:id="rId76" xr:uid="{00000000-0004-0000-0300-00004B000000}"/>
    <hyperlink ref="S87" r:id="rId77" xr:uid="{00000000-0004-0000-0300-00004C000000}"/>
    <hyperlink ref="S88" r:id="rId78" xr:uid="{00000000-0004-0000-0300-00004D000000}"/>
    <hyperlink ref="S89" r:id="rId79" xr:uid="{00000000-0004-0000-0300-00004E000000}"/>
    <hyperlink ref="S90" r:id="rId80" xr:uid="{00000000-0004-0000-0300-00004F000000}"/>
    <hyperlink ref="S91" r:id="rId81" xr:uid="{00000000-0004-0000-0300-000050000000}"/>
    <hyperlink ref="S92" r:id="rId82" xr:uid="{00000000-0004-0000-0300-000051000000}"/>
    <hyperlink ref="S93" r:id="rId83" xr:uid="{00000000-0004-0000-0300-000052000000}"/>
    <hyperlink ref="S94" r:id="rId84" xr:uid="{00000000-0004-0000-0300-000053000000}"/>
    <hyperlink ref="S95" r:id="rId85" xr:uid="{00000000-0004-0000-0300-000054000000}"/>
    <hyperlink ref="S96" r:id="rId86" xr:uid="{00000000-0004-0000-0300-000055000000}"/>
    <hyperlink ref="S97" r:id="rId87" xr:uid="{00000000-0004-0000-0300-000056000000}"/>
    <hyperlink ref="S98" r:id="rId88" xr:uid="{00000000-0004-0000-0300-000057000000}"/>
    <hyperlink ref="S99" r:id="rId89" xr:uid="{00000000-0004-0000-0300-000058000000}"/>
    <hyperlink ref="S100" r:id="rId90" xr:uid="{00000000-0004-0000-0300-000059000000}"/>
    <hyperlink ref="S101" r:id="rId91" xr:uid="{00000000-0004-0000-0300-00005A000000}"/>
    <hyperlink ref="S102" r:id="rId92" xr:uid="{00000000-0004-0000-0300-00005B000000}"/>
    <hyperlink ref="S103" r:id="rId93" xr:uid="{00000000-0004-0000-0300-00005C000000}"/>
    <hyperlink ref="S104" r:id="rId94" xr:uid="{00000000-0004-0000-0300-00005D000000}"/>
    <hyperlink ref="S105" r:id="rId95" xr:uid="{00000000-0004-0000-0300-00005E000000}"/>
    <hyperlink ref="S106" r:id="rId96" xr:uid="{00000000-0004-0000-0300-00005F000000}"/>
    <hyperlink ref="S107" r:id="rId97" xr:uid="{00000000-0004-0000-0300-000060000000}"/>
    <hyperlink ref="S108" r:id="rId98" xr:uid="{00000000-0004-0000-0300-000061000000}"/>
    <hyperlink ref="S109" r:id="rId99" xr:uid="{00000000-0004-0000-0300-000062000000}"/>
    <hyperlink ref="S110" r:id="rId100" xr:uid="{00000000-0004-0000-0300-000063000000}"/>
    <hyperlink ref="S111" r:id="rId101" xr:uid="{00000000-0004-0000-0300-000064000000}"/>
    <hyperlink ref="S112" r:id="rId102" xr:uid="{00000000-0004-0000-0300-000065000000}"/>
    <hyperlink ref="S113" r:id="rId103" xr:uid="{00000000-0004-0000-0300-000066000000}"/>
    <hyperlink ref="S114" r:id="rId104" xr:uid="{00000000-0004-0000-0300-000067000000}"/>
    <hyperlink ref="S115" r:id="rId105" xr:uid="{00000000-0004-0000-0300-000068000000}"/>
    <hyperlink ref="S116" r:id="rId106" xr:uid="{00000000-0004-0000-0300-000069000000}"/>
    <hyperlink ref="S117" r:id="rId107" xr:uid="{00000000-0004-0000-0300-00006A000000}"/>
    <hyperlink ref="S118" r:id="rId108" xr:uid="{00000000-0004-0000-0300-00006B000000}"/>
    <hyperlink ref="S119" r:id="rId109" xr:uid="{00000000-0004-0000-0300-00006C000000}"/>
    <hyperlink ref="S120" r:id="rId110" xr:uid="{00000000-0004-0000-0300-00006D000000}"/>
    <hyperlink ref="S121" r:id="rId111" xr:uid="{00000000-0004-0000-0300-00006E000000}"/>
    <hyperlink ref="S122" r:id="rId112" xr:uid="{00000000-0004-0000-0300-00006F000000}"/>
    <hyperlink ref="S123" r:id="rId113" xr:uid="{00000000-0004-0000-0300-000070000000}"/>
    <hyperlink ref="S124" r:id="rId114" xr:uid="{00000000-0004-0000-0300-000071000000}"/>
    <hyperlink ref="S125" r:id="rId115" xr:uid="{00000000-0004-0000-0300-000072000000}"/>
    <hyperlink ref="S126" r:id="rId116" xr:uid="{00000000-0004-0000-0300-000073000000}"/>
    <hyperlink ref="S127" r:id="rId117" xr:uid="{00000000-0004-0000-0300-000074000000}"/>
    <hyperlink ref="S128" r:id="rId118" xr:uid="{00000000-0004-0000-0300-000075000000}"/>
    <hyperlink ref="S129" r:id="rId119" xr:uid="{00000000-0004-0000-0300-000076000000}"/>
    <hyperlink ref="S130" r:id="rId120" xr:uid="{00000000-0004-0000-0300-000077000000}"/>
    <hyperlink ref="S131" r:id="rId121" xr:uid="{00000000-0004-0000-0300-000078000000}"/>
    <hyperlink ref="S132" r:id="rId122" xr:uid="{00000000-0004-0000-0300-000079000000}"/>
    <hyperlink ref="S133" r:id="rId123" xr:uid="{00000000-0004-0000-0300-00007A000000}"/>
    <hyperlink ref="S134" r:id="rId124" xr:uid="{00000000-0004-0000-0300-00007B000000}"/>
    <hyperlink ref="S135" r:id="rId125" xr:uid="{00000000-0004-0000-0300-00007C000000}"/>
    <hyperlink ref="S136" r:id="rId126" xr:uid="{00000000-0004-0000-0300-00007D000000}"/>
    <hyperlink ref="S137" r:id="rId127" xr:uid="{00000000-0004-0000-0300-00007E000000}"/>
    <hyperlink ref="S138" r:id="rId128" xr:uid="{00000000-0004-0000-0300-00007F000000}"/>
    <hyperlink ref="S139" r:id="rId129" xr:uid="{00000000-0004-0000-0300-000080000000}"/>
    <hyperlink ref="S140" r:id="rId130" xr:uid="{00000000-0004-0000-0300-000081000000}"/>
  </hyperlinks>
  <pageMargins left="0.75" right="0.75" top="1" bottom="1" header="0.5" footer="0.5"/>
  <tableParts count="3">
    <tablePart r:id="rId131"/>
    <tablePart r:id="rId132"/>
    <tablePart r:id="rId13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85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7"/>
  <cols>
    <col min="1" max="1" width="24" customWidth="1"/>
    <col min="2" max="2" width="50" customWidth="1"/>
    <col min="3" max="3" width="25" customWidth="1"/>
    <col min="4" max="4" width="16" customWidth="1"/>
    <col min="5" max="5" width="14" customWidth="1"/>
    <col min="6" max="6" width="19" customWidth="1"/>
    <col min="7" max="7" width="11" customWidth="1"/>
    <col min="8" max="8" width="24" customWidth="1"/>
    <col min="9" max="9" width="17" customWidth="1"/>
    <col min="10" max="10" width="32" customWidth="1"/>
    <col min="11" max="12" width="34" customWidth="1"/>
    <col min="13" max="13" width="28" customWidth="1"/>
    <col min="14" max="16" width="22" customWidth="1"/>
    <col min="17" max="17" width="25" customWidth="1"/>
    <col min="18" max="18" width="34" customWidth="1"/>
    <col min="19" max="19" width="42" customWidth="1"/>
  </cols>
  <sheetData>
    <row r="1" spans="1:19" ht="28" customHeight="1">
      <c r="A1" s="18" t="s">
        <v>1167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ht="30" customHeight="1">
      <c r="A2" s="22" t="s">
        <v>822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19" ht="24" customHeight="1">
      <c r="A3" s="23" t="s">
        <v>1168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</row>
    <row r="4" spans="1:19" ht="36" customHeight="1">
      <c r="A4" s="4" t="s">
        <v>6</v>
      </c>
      <c r="B4" s="4" t="s">
        <v>17</v>
      </c>
      <c r="C4" s="4" t="s">
        <v>18</v>
      </c>
      <c r="D4" s="4" t="s">
        <v>19</v>
      </c>
      <c r="E4" s="4" t="s">
        <v>21</v>
      </c>
      <c r="F4" s="4" t="s">
        <v>27</v>
      </c>
      <c r="G4" s="4" t="s">
        <v>22</v>
      </c>
      <c r="H4" s="4" t="s">
        <v>824</v>
      </c>
      <c r="I4" s="4" t="s">
        <v>825</v>
      </c>
      <c r="J4" s="4" t="s">
        <v>826</v>
      </c>
      <c r="K4" s="4" t="s">
        <v>827</v>
      </c>
      <c r="L4" s="4" t="s">
        <v>828</v>
      </c>
      <c r="M4" s="4" t="s">
        <v>829</v>
      </c>
      <c r="N4" s="4" t="s">
        <v>830</v>
      </c>
      <c r="O4" s="4" t="s">
        <v>831</v>
      </c>
      <c r="P4" s="4" t="s">
        <v>832</v>
      </c>
      <c r="Q4" s="4" t="s">
        <v>358</v>
      </c>
      <c r="R4" s="4" t="s">
        <v>833</v>
      </c>
      <c r="S4" s="4" t="s">
        <v>834</v>
      </c>
    </row>
    <row r="5" spans="1:19" ht="44" customHeight="1">
      <c r="A5" s="5" t="s">
        <v>12</v>
      </c>
      <c r="B5" s="5" t="s">
        <v>1169</v>
      </c>
      <c r="C5" s="5" t="s">
        <v>1138</v>
      </c>
      <c r="D5" s="6">
        <v>10000000</v>
      </c>
      <c r="E5" s="8">
        <v>45663.556944444441</v>
      </c>
      <c r="F5" s="16">
        <v>45663.666666666657</v>
      </c>
      <c r="G5" s="5" t="s">
        <v>27</v>
      </c>
      <c r="H5" s="5" t="s">
        <v>1170</v>
      </c>
      <c r="I5" s="17" t="s">
        <v>851</v>
      </c>
      <c r="J5" s="5" t="s">
        <v>852</v>
      </c>
      <c r="K5" s="5" t="s">
        <v>113</v>
      </c>
      <c r="L5" s="5" t="s">
        <v>113</v>
      </c>
      <c r="M5" s="5" t="s">
        <v>113</v>
      </c>
      <c r="N5" s="5" t="s">
        <v>839</v>
      </c>
      <c r="O5" s="5" t="s">
        <v>113</v>
      </c>
      <c r="P5" s="5" t="s">
        <v>841</v>
      </c>
      <c r="Q5" s="5" t="s">
        <v>1171</v>
      </c>
      <c r="R5" s="5" t="s">
        <v>874</v>
      </c>
      <c r="S5" s="7" t="s">
        <v>1172</v>
      </c>
    </row>
    <row r="6" spans="1:19" ht="44" customHeight="1">
      <c r="A6" s="5" t="s">
        <v>12</v>
      </c>
      <c r="B6" s="5" t="s">
        <v>1173</v>
      </c>
      <c r="C6" s="5" t="s">
        <v>1174</v>
      </c>
      <c r="D6" s="6">
        <v>50000000</v>
      </c>
      <c r="E6" s="8">
        <v>45677.300694444442</v>
      </c>
      <c r="F6" s="16">
        <v>45681.583333333343</v>
      </c>
      <c r="G6" s="5" t="s">
        <v>27</v>
      </c>
      <c r="H6" s="5" t="s">
        <v>1175</v>
      </c>
      <c r="I6" s="5" t="s">
        <v>847</v>
      </c>
      <c r="J6" s="5" t="s">
        <v>848</v>
      </c>
      <c r="K6" s="5" t="s">
        <v>849</v>
      </c>
      <c r="L6" s="5" t="s">
        <v>876</v>
      </c>
      <c r="M6" s="5" t="s">
        <v>99</v>
      </c>
      <c r="N6" s="5" t="s">
        <v>839</v>
      </c>
      <c r="O6" s="5" t="s">
        <v>840</v>
      </c>
      <c r="P6" s="5" t="s">
        <v>841</v>
      </c>
      <c r="Q6" s="5" t="s">
        <v>592</v>
      </c>
      <c r="R6" s="5" t="s">
        <v>843</v>
      </c>
      <c r="S6" s="7" t="s">
        <v>1176</v>
      </c>
    </row>
    <row r="7" spans="1:19" ht="44" customHeight="1">
      <c r="A7" s="5" t="s">
        <v>12</v>
      </c>
      <c r="B7" s="5" t="s">
        <v>671</v>
      </c>
      <c r="C7" s="5" t="s">
        <v>672</v>
      </c>
      <c r="D7" s="6">
        <v>70000000</v>
      </c>
      <c r="E7" s="8">
        <v>45679.652777777781</v>
      </c>
      <c r="F7" s="16">
        <v>45695.458333333343</v>
      </c>
      <c r="G7" s="5" t="s">
        <v>27</v>
      </c>
      <c r="H7" s="5" t="s">
        <v>1177</v>
      </c>
      <c r="I7" s="17" t="s">
        <v>851</v>
      </c>
      <c r="J7" s="5" t="s">
        <v>852</v>
      </c>
      <c r="K7" s="5" t="s">
        <v>113</v>
      </c>
      <c r="L7" s="5" t="s">
        <v>113</v>
      </c>
      <c r="M7" s="5" t="s">
        <v>853</v>
      </c>
      <c r="N7" s="5" t="s">
        <v>839</v>
      </c>
      <c r="O7" s="5" t="s">
        <v>840</v>
      </c>
      <c r="P7" s="5" t="s">
        <v>841</v>
      </c>
      <c r="Q7" s="5" t="s">
        <v>422</v>
      </c>
      <c r="R7" s="5" t="s">
        <v>843</v>
      </c>
      <c r="S7" s="7" t="s">
        <v>673</v>
      </c>
    </row>
    <row r="8" spans="1:19" ht="44" customHeight="1">
      <c r="A8" s="5" t="s">
        <v>12</v>
      </c>
      <c r="B8" s="5" t="s">
        <v>591</v>
      </c>
      <c r="C8" s="5" t="s">
        <v>577</v>
      </c>
      <c r="D8" s="6">
        <v>30000000</v>
      </c>
      <c r="E8" s="8">
        <v>45681.604166666657</v>
      </c>
      <c r="F8" s="16">
        <v>45693.416666666657</v>
      </c>
      <c r="G8" s="5" t="s">
        <v>27</v>
      </c>
      <c r="H8" s="5" t="s">
        <v>1178</v>
      </c>
      <c r="I8" s="5" t="s">
        <v>847</v>
      </c>
      <c r="J8" s="5" t="s">
        <v>848</v>
      </c>
      <c r="K8" s="5" t="s">
        <v>864</v>
      </c>
      <c r="L8" s="5" t="s">
        <v>113</v>
      </c>
      <c r="M8" s="5" t="s">
        <v>853</v>
      </c>
      <c r="N8" s="5" t="s">
        <v>839</v>
      </c>
      <c r="O8" s="5" t="s">
        <v>840</v>
      </c>
      <c r="P8" s="5" t="s">
        <v>865</v>
      </c>
      <c r="Q8" s="5" t="s">
        <v>592</v>
      </c>
      <c r="R8" s="5" t="s">
        <v>843</v>
      </c>
      <c r="S8" s="7" t="s">
        <v>593</v>
      </c>
    </row>
    <row r="9" spans="1:19" ht="44" customHeight="1">
      <c r="A9" s="5" t="s">
        <v>12</v>
      </c>
      <c r="B9" s="5" t="s">
        <v>1179</v>
      </c>
      <c r="C9" s="5" t="s">
        <v>867</v>
      </c>
      <c r="D9" s="6">
        <v>60000000</v>
      </c>
      <c r="E9" s="8">
        <v>45688.606249999997</v>
      </c>
      <c r="F9" s="16">
        <v>45702.75</v>
      </c>
      <c r="G9" s="5" t="s">
        <v>27</v>
      </c>
      <c r="H9" s="5" t="s">
        <v>113</v>
      </c>
      <c r="I9" s="5" t="s">
        <v>847</v>
      </c>
      <c r="J9" s="5" t="s">
        <v>848</v>
      </c>
      <c r="K9" s="5" t="s">
        <v>864</v>
      </c>
      <c r="L9" s="5" t="s">
        <v>113</v>
      </c>
      <c r="M9" s="5" t="s">
        <v>853</v>
      </c>
      <c r="N9" s="5" t="s">
        <v>839</v>
      </c>
      <c r="O9" s="5" t="s">
        <v>840</v>
      </c>
      <c r="P9" s="5" t="s">
        <v>841</v>
      </c>
      <c r="Q9" s="5" t="s">
        <v>422</v>
      </c>
      <c r="R9" s="5" t="s">
        <v>843</v>
      </c>
      <c r="S9" s="7" t="s">
        <v>1180</v>
      </c>
    </row>
    <row r="10" spans="1:19" ht="44" customHeight="1">
      <c r="A10" s="5" t="s">
        <v>12</v>
      </c>
      <c r="B10" s="5" t="s">
        <v>1179</v>
      </c>
      <c r="C10" s="5" t="s">
        <v>867</v>
      </c>
      <c r="D10" s="6">
        <v>60000000</v>
      </c>
      <c r="E10" s="8">
        <v>45693.63958333333</v>
      </c>
      <c r="F10" s="16">
        <v>45706.75</v>
      </c>
      <c r="G10" s="5" t="s">
        <v>27</v>
      </c>
      <c r="H10" s="5" t="s">
        <v>113</v>
      </c>
      <c r="I10" s="5" t="s">
        <v>847</v>
      </c>
      <c r="J10" s="5" t="s">
        <v>848</v>
      </c>
      <c r="K10" s="5" t="s">
        <v>864</v>
      </c>
      <c r="L10" s="5" t="s">
        <v>113</v>
      </c>
      <c r="M10" s="5" t="s">
        <v>853</v>
      </c>
      <c r="N10" s="5" t="s">
        <v>839</v>
      </c>
      <c r="O10" s="5" t="s">
        <v>840</v>
      </c>
      <c r="P10" s="5" t="s">
        <v>841</v>
      </c>
      <c r="Q10" s="5" t="s">
        <v>422</v>
      </c>
      <c r="R10" s="5" t="s">
        <v>843</v>
      </c>
      <c r="S10" s="7" t="s">
        <v>1181</v>
      </c>
    </row>
    <row r="11" spans="1:19" ht="44" customHeight="1">
      <c r="A11" s="5" t="s">
        <v>12</v>
      </c>
      <c r="B11" s="5" t="s">
        <v>427</v>
      </c>
      <c r="C11" s="5" t="s">
        <v>428</v>
      </c>
      <c r="D11" s="6">
        <v>221585600</v>
      </c>
      <c r="E11" s="8">
        <v>45698.609027777777</v>
      </c>
      <c r="F11" s="16">
        <v>45709.416666666657</v>
      </c>
      <c r="G11" s="5" t="s">
        <v>27</v>
      </c>
      <c r="H11" s="5" t="s">
        <v>656</v>
      </c>
      <c r="I11" s="5" t="s">
        <v>847</v>
      </c>
      <c r="J11" s="5" t="s">
        <v>848</v>
      </c>
      <c r="K11" s="5" t="s">
        <v>875</v>
      </c>
      <c r="L11" s="5" t="s">
        <v>113</v>
      </c>
      <c r="M11" s="5" t="s">
        <v>113</v>
      </c>
      <c r="N11" s="5" t="s">
        <v>839</v>
      </c>
      <c r="O11" s="5" t="s">
        <v>113</v>
      </c>
      <c r="P11" s="5" t="s">
        <v>841</v>
      </c>
      <c r="Q11" s="5" t="s">
        <v>422</v>
      </c>
      <c r="R11" s="5" t="s">
        <v>874</v>
      </c>
      <c r="S11" s="7" t="s">
        <v>429</v>
      </c>
    </row>
    <row r="12" spans="1:19" ht="44" customHeight="1">
      <c r="A12" s="5" t="s">
        <v>12</v>
      </c>
      <c r="B12" s="5" t="s">
        <v>557</v>
      </c>
      <c r="C12" s="5" t="s">
        <v>558</v>
      </c>
      <c r="D12" s="6">
        <v>130000000</v>
      </c>
      <c r="E12" s="8">
        <v>45708.439583333333</v>
      </c>
      <c r="F12" s="16">
        <v>45729.458333333343</v>
      </c>
      <c r="G12" s="5" t="s">
        <v>27</v>
      </c>
      <c r="H12" s="5" t="s">
        <v>1182</v>
      </c>
      <c r="I12" s="5" t="s">
        <v>847</v>
      </c>
      <c r="J12" s="5" t="s">
        <v>848</v>
      </c>
      <c r="K12" s="5" t="s">
        <v>868</v>
      </c>
      <c r="L12" s="5" t="s">
        <v>113</v>
      </c>
      <c r="M12" s="5" t="s">
        <v>853</v>
      </c>
      <c r="N12" s="5" t="s">
        <v>893</v>
      </c>
      <c r="O12" s="5" t="s">
        <v>840</v>
      </c>
      <c r="P12" s="5" t="s">
        <v>841</v>
      </c>
      <c r="Q12" s="5" t="s">
        <v>372</v>
      </c>
      <c r="R12" s="5" t="s">
        <v>843</v>
      </c>
      <c r="S12" s="7" t="s">
        <v>559</v>
      </c>
    </row>
    <row r="13" spans="1:19" ht="44" customHeight="1">
      <c r="A13" s="5" t="s">
        <v>12</v>
      </c>
      <c r="B13" s="5" t="s">
        <v>514</v>
      </c>
      <c r="C13" s="5" t="s">
        <v>515</v>
      </c>
      <c r="D13" s="6">
        <v>90000000</v>
      </c>
      <c r="E13" s="8">
        <v>45734.620138888888</v>
      </c>
      <c r="F13" s="16">
        <v>45749.666666666657</v>
      </c>
      <c r="G13" s="5" t="s">
        <v>27</v>
      </c>
      <c r="H13" s="5" t="s">
        <v>1183</v>
      </c>
      <c r="I13" s="17" t="s">
        <v>851</v>
      </c>
      <c r="J13" s="5" t="s">
        <v>852</v>
      </c>
      <c r="K13" s="5" t="s">
        <v>113</v>
      </c>
      <c r="L13" s="5" t="s">
        <v>113</v>
      </c>
      <c r="M13" s="5" t="s">
        <v>853</v>
      </c>
      <c r="N13" s="5" t="s">
        <v>839</v>
      </c>
      <c r="O13" s="5" t="s">
        <v>841</v>
      </c>
      <c r="P13" s="5" t="s">
        <v>1184</v>
      </c>
      <c r="Q13" s="5" t="s">
        <v>372</v>
      </c>
      <c r="R13" s="5" t="s">
        <v>843</v>
      </c>
      <c r="S13" s="7" t="s">
        <v>516</v>
      </c>
    </row>
    <row r="14" spans="1:19" ht="44" customHeight="1">
      <c r="A14" s="5" t="s">
        <v>12</v>
      </c>
      <c r="B14" s="5" t="s">
        <v>1185</v>
      </c>
      <c r="C14" s="5" t="s">
        <v>782</v>
      </c>
      <c r="D14" s="6">
        <v>211900000</v>
      </c>
      <c r="E14" s="8">
        <v>45740.593055555553</v>
      </c>
      <c r="F14" s="16">
        <v>45761.416666666657</v>
      </c>
      <c r="G14" s="5" t="s">
        <v>27</v>
      </c>
      <c r="H14" s="5" t="s">
        <v>113</v>
      </c>
      <c r="I14" s="5" t="s">
        <v>847</v>
      </c>
      <c r="J14" s="5" t="s">
        <v>848</v>
      </c>
      <c r="K14" s="5" t="s">
        <v>1186</v>
      </c>
      <c r="L14" s="5" t="s">
        <v>113</v>
      </c>
      <c r="M14" s="5" t="s">
        <v>853</v>
      </c>
      <c r="N14" s="5" t="s">
        <v>839</v>
      </c>
      <c r="O14" s="5" t="s">
        <v>841</v>
      </c>
      <c r="P14" s="5" t="s">
        <v>841</v>
      </c>
      <c r="Q14" s="5" t="s">
        <v>372</v>
      </c>
      <c r="R14" s="5" t="s">
        <v>1187</v>
      </c>
      <c r="S14" s="7" t="s">
        <v>1188</v>
      </c>
    </row>
    <row r="15" spans="1:19" ht="44" customHeight="1">
      <c r="A15" s="5" t="s">
        <v>12</v>
      </c>
      <c r="B15" s="5" t="s">
        <v>510</v>
      </c>
      <c r="C15" s="5" t="s">
        <v>48</v>
      </c>
      <c r="D15" s="6">
        <v>120000000</v>
      </c>
      <c r="E15" s="8">
        <v>45742.63958333333</v>
      </c>
      <c r="F15" s="16">
        <v>45763.458333333343</v>
      </c>
      <c r="G15" s="5" t="s">
        <v>27</v>
      </c>
      <c r="H15" s="5" t="s">
        <v>766</v>
      </c>
      <c r="I15" s="5" t="s">
        <v>847</v>
      </c>
      <c r="J15" s="5" t="s">
        <v>848</v>
      </c>
      <c r="K15" s="5" t="s">
        <v>875</v>
      </c>
      <c r="L15" s="5" t="s">
        <v>113</v>
      </c>
      <c r="M15" s="5" t="s">
        <v>853</v>
      </c>
      <c r="N15" s="5" t="s">
        <v>839</v>
      </c>
      <c r="O15" s="5" t="s">
        <v>840</v>
      </c>
      <c r="P15" s="5" t="s">
        <v>841</v>
      </c>
      <c r="Q15" s="5" t="s">
        <v>372</v>
      </c>
      <c r="R15" s="5" t="s">
        <v>843</v>
      </c>
      <c r="S15" s="7" t="s">
        <v>511</v>
      </c>
    </row>
    <row r="16" spans="1:19" ht="44" customHeight="1">
      <c r="A16" s="5" t="s">
        <v>12</v>
      </c>
      <c r="B16" s="5" t="s">
        <v>1189</v>
      </c>
      <c r="C16" s="5" t="s">
        <v>546</v>
      </c>
      <c r="D16" s="6">
        <v>150000000</v>
      </c>
      <c r="E16" s="8">
        <v>45744.457638888889</v>
      </c>
      <c r="F16" s="16">
        <v>45755.625</v>
      </c>
      <c r="G16" s="5" t="s">
        <v>27</v>
      </c>
      <c r="H16" s="5" t="s">
        <v>871</v>
      </c>
      <c r="I16" s="5" t="s">
        <v>847</v>
      </c>
      <c r="J16" s="5" t="s">
        <v>848</v>
      </c>
      <c r="K16" s="5" t="s">
        <v>942</v>
      </c>
      <c r="L16" s="5" t="s">
        <v>872</v>
      </c>
      <c r="M16" s="5" t="s">
        <v>853</v>
      </c>
      <c r="N16" s="5" t="s">
        <v>839</v>
      </c>
      <c r="O16" s="5" t="s">
        <v>840</v>
      </c>
      <c r="P16" s="5" t="s">
        <v>841</v>
      </c>
      <c r="Q16" s="5" t="s">
        <v>372</v>
      </c>
      <c r="R16" s="5" t="s">
        <v>843</v>
      </c>
      <c r="S16" s="7" t="s">
        <v>1190</v>
      </c>
    </row>
    <row r="17" spans="1:19" ht="44" customHeight="1">
      <c r="A17" s="5" t="s">
        <v>12</v>
      </c>
      <c r="B17" s="5" t="s">
        <v>1191</v>
      </c>
      <c r="C17" s="5" t="s">
        <v>1192</v>
      </c>
      <c r="D17" s="6">
        <v>40000000</v>
      </c>
      <c r="E17" s="8">
        <v>45744.481944444437</v>
      </c>
      <c r="F17" s="16">
        <v>45755.583333333343</v>
      </c>
      <c r="G17" s="5" t="s">
        <v>27</v>
      </c>
      <c r="H17" s="5" t="s">
        <v>113</v>
      </c>
      <c r="I17" s="5" t="s">
        <v>837</v>
      </c>
      <c r="J17" s="5" t="s">
        <v>838</v>
      </c>
      <c r="K17" s="5" t="s">
        <v>113</v>
      </c>
      <c r="L17" s="5" t="s">
        <v>113</v>
      </c>
      <c r="M17" s="5" t="s">
        <v>99</v>
      </c>
      <c r="N17" s="5" t="s">
        <v>839</v>
      </c>
      <c r="O17" s="5" t="s">
        <v>841</v>
      </c>
      <c r="P17" s="5" t="s">
        <v>841</v>
      </c>
      <c r="Q17" s="5" t="s">
        <v>1193</v>
      </c>
      <c r="R17" s="5" t="s">
        <v>843</v>
      </c>
      <c r="S17" s="7" t="s">
        <v>1194</v>
      </c>
    </row>
    <row r="18" spans="1:19" ht="44" customHeight="1">
      <c r="A18" s="5" t="s">
        <v>12</v>
      </c>
      <c r="B18" s="5" t="s">
        <v>476</v>
      </c>
      <c r="C18" s="5" t="s">
        <v>477</v>
      </c>
      <c r="D18" s="6">
        <v>177200000</v>
      </c>
      <c r="E18" s="8">
        <v>45748.461111111108</v>
      </c>
      <c r="F18" s="16">
        <v>45769.666666666657</v>
      </c>
      <c r="G18" s="5" t="s">
        <v>27</v>
      </c>
      <c r="H18" s="5" t="s">
        <v>1195</v>
      </c>
      <c r="I18" s="5" t="s">
        <v>847</v>
      </c>
      <c r="J18" s="5" t="s">
        <v>848</v>
      </c>
      <c r="K18" s="5" t="s">
        <v>868</v>
      </c>
      <c r="L18" s="5" t="s">
        <v>113</v>
      </c>
      <c r="M18" s="5" t="s">
        <v>853</v>
      </c>
      <c r="N18" s="5" t="s">
        <v>839</v>
      </c>
      <c r="O18" s="5" t="s">
        <v>840</v>
      </c>
      <c r="P18" s="5" t="s">
        <v>841</v>
      </c>
      <c r="Q18" s="5" t="s">
        <v>372</v>
      </c>
      <c r="R18" s="5" t="s">
        <v>1196</v>
      </c>
      <c r="S18" s="7" t="s">
        <v>1197</v>
      </c>
    </row>
    <row r="19" spans="1:19" ht="44" customHeight="1">
      <c r="A19" s="5" t="s">
        <v>12</v>
      </c>
      <c r="B19" s="5" t="s">
        <v>714</v>
      </c>
      <c r="C19" s="5" t="s">
        <v>715</v>
      </c>
      <c r="D19" s="6">
        <v>100000000</v>
      </c>
      <c r="E19" s="8">
        <v>45749.59097222222</v>
      </c>
      <c r="F19" s="16">
        <v>45761.708333333343</v>
      </c>
      <c r="G19" s="5" t="s">
        <v>27</v>
      </c>
      <c r="H19" s="5" t="s">
        <v>1198</v>
      </c>
      <c r="I19" s="5" t="s">
        <v>847</v>
      </c>
      <c r="J19" s="5" t="s">
        <v>848</v>
      </c>
      <c r="K19" s="5" t="s">
        <v>868</v>
      </c>
      <c r="L19" s="5" t="s">
        <v>113</v>
      </c>
      <c r="M19" s="5" t="s">
        <v>853</v>
      </c>
      <c r="N19" s="5" t="s">
        <v>839</v>
      </c>
      <c r="O19" s="5" t="s">
        <v>840</v>
      </c>
      <c r="P19" s="5" t="s">
        <v>841</v>
      </c>
      <c r="Q19" s="5" t="s">
        <v>372</v>
      </c>
      <c r="R19" s="5" t="s">
        <v>843</v>
      </c>
      <c r="S19" s="7" t="s">
        <v>1199</v>
      </c>
    </row>
    <row r="20" spans="1:19" ht="44" customHeight="1">
      <c r="A20" s="5" t="s">
        <v>12</v>
      </c>
      <c r="B20" s="5" t="s">
        <v>700</v>
      </c>
      <c r="C20" s="5" t="s">
        <v>701</v>
      </c>
      <c r="D20" s="6">
        <v>88000000</v>
      </c>
      <c r="E20" s="8">
        <v>45755.669444444437</v>
      </c>
      <c r="F20" s="16">
        <v>45768.583333333343</v>
      </c>
      <c r="G20" s="5" t="s">
        <v>27</v>
      </c>
      <c r="H20" s="5" t="s">
        <v>687</v>
      </c>
      <c r="I20" s="5" t="s">
        <v>847</v>
      </c>
      <c r="J20" s="5" t="s">
        <v>848</v>
      </c>
      <c r="K20" s="5" t="s">
        <v>1200</v>
      </c>
      <c r="L20" s="5" t="s">
        <v>113</v>
      </c>
      <c r="M20" s="5" t="s">
        <v>99</v>
      </c>
      <c r="N20" s="5" t="s">
        <v>893</v>
      </c>
      <c r="O20" s="5" t="s">
        <v>840</v>
      </c>
      <c r="P20" s="5" t="s">
        <v>841</v>
      </c>
      <c r="Q20" s="5" t="s">
        <v>372</v>
      </c>
      <c r="R20" s="5" t="s">
        <v>1201</v>
      </c>
      <c r="S20" s="7" t="s">
        <v>702</v>
      </c>
    </row>
    <row r="21" spans="1:19" ht="44" customHeight="1">
      <c r="A21" s="5" t="s">
        <v>12</v>
      </c>
      <c r="B21" s="5" t="s">
        <v>1191</v>
      </c>
      <c r="C21" s="5" t="s">
        <v>1192</v>
      </c>
      <c r="D21" s="6">
        <v>40000000</v>
      </c>
      <c r="E21" s="8">
        <v>45756.447222222218</v>
      </c>
      <c r="F21" s="16">
        <v>45761.583333333343</v>
      </c>
      <c r="G21" s="5" t="s">
        <v>27</v>
      </c>
      <c r="H21" s="5" t="s">
        <v>113</v>
      </c>
      <c r="I21" s="5" t="s">
        <v>837</v>
      </c>
      <c r="J21" s="5" t="s">
        <v>838</v>
      </c>
      <c r="K21" s="5" t="s">
        <v>113</v>
      </c>
      <c r="L21" s="5" t="s">
        <v>113</v>
      </c>
      <c r="M21" s="5" t="s">
        <v>99</v>
      </c>
      <c r="N21" s="5" t="s">
        <v>839</v>
      </c>
      <c r="O21" s="5" t="s">
        <v>841</v>
      </c>
      <c r="P21" s="5" t="s">
        <v>841</v>
      </c>
      <c r="Q21" s="5" t="s">
        <v>1193</v>
      </c>
      <c r="R21" s="5" t="s">
        <v>843</v>
      </c>
      <c r="S21" s="7" t="s">
        <v>1202</v>
      </c>
    </row>
    <row r="22" spans="1:19" ht="44" customHeight="1">
      <c r="A22" s="5" t="s">
        <v>12</v>
      </c>
      <c r="B22" s="5" t="s">
        <v>1203</v>
      </c>
      <c r="C22" s="5" t="s">
        <v>48</v>
      </c>
      <c r="D22" s="6">
        <v>145000000</v>
      </c>
      <c r="E22" s="8">
        <v>45761.80972222222</v>
      </c>
      <c r="F22" s="16">
        <v>45785.458333333343</v>
      </c>
      <c r="G22" s="5" t="s">
        <v>27</v>
      </c>
      <c r="H22" s="5" t="s">
        <v>1204</v>
      </c>
      <c r="I22" s="5" t="s">
        <v>847</v>
      </c>
      <c r="J22" s="5" t="s">
        <v>848</v>
      </c>
      <c r="K22" s="5" t="s">
        <v>868</v>
      </c>
      <c r="L22" s="5" t="s">
        <v>113</v>
      </c>
      <c r="M22" s="5" t="s">
        <v>853</v>
      </c>
      <c r="N22" s="5" t="s">
        <v>839</v>
      </c>
      <c r="O22" s="5" t="s">
        <v>840</v>
      </c>
      <c r="P22" s="5" t="s">
        <v>841</v>
      </c>
      <c r="Q22" s="5" t="s">
        <v>372</v>
      </c>
      <c r="R22" s="5" t="s">
        <v>843</v>
      </c>
      <c r="S22" s="7" t="s">
        <v>1205</v>
      </c>
    </row>
    <row r="23" spans="1:19" ht="44" customHeight="1">
      <c r="A23" s="5" t="s">
        <v>12</v>
      </c>
      <c r="B23" s="5" t="s">
        <v>1206</v>
      </c>
      <c r="C23" s="5" t="s">
        <v>1207</v>
      </c>
      <c r="D23" s="6">
        <v>25000000</v>
      </c>
      <c r="E23" s="8">
        <v>45768.551388888889</v>
      </c>
      <c r="F23" s="16">
        <v>45776.583333333343</v>
      </c>
      <c r="G23" s="5" t="s">
        <v>27</v>
      </c>
      <c r="H23" s="5" t="s">
        <v>113</v>
      </c>
      <c r="I23" s="17" t="s">
        <v>851</v>
      </c>
      <c r="J23" s="5" t="s">
        <v>852</v>
      </c>
      <c r="K23" s="5" t="s">
        <v>113</v>
      </c>
      <c r="L23" s="5" t="s">
        <v>113</v>
      </c>
      <c r="M23" s="5" t="s">
        <v>853</v>
      </c>
      <c r="N23" s="5" t="s">
        <v>839</v>
      </c>
      <c r="O23" s="5" t="s">
        <v>841</v>
      </c>
      <c r="P23" s="5" t="s">
        <v>841</v>
      </c>
      <c r="Q23" s="5" t="s">
        <v>372</v>
      </c>
      <c r="R23" s="5" t="s">
        <v>843</v>
      </c>
      <c r="S23" s="7" t="s">
        <v>1208</v>
      </c>
    </row>
    <row r="24" spans="1:19" ht="44" customHeight="1">
      <c r="A24" s="5" t="s">
        <v>12</v>
      </c>
      <c r="B24" s="5" t="s">
        <v>1209</v>
      </c>
      <c r="C24" s="5" t="s">
        <v>892</v>
      </c>
      <c r="D24" s="6">
        <v>69995638</v>
      </c>
      <c r="E24" s="8">
        <v>45771.604166666657</v>
      </c>
      <c r="F24" s="16">
        <v>45785.625</v>
      </c>
      <c r="G24" s="5" t="s">
        <v>27</v>
      </c>
      <c r="H24" s="5" t="s">
        <v>113</v>
      </c>
      <c r="I24" s="17" t="s">
        <v>851</v>
      </c>
      <c r="J24" s="5" t="s">
        <v>852</v>
      </c>
      <c r="K24" s="5" t="s">
        <v>113</v>
      </c>
      <c r="L24" s="5" t="s">
        <v>113</v>
      </c>
      <c r="M24" s="5" t="s">
        <v>113</v>
      </c>
      <c r="N24" s="5" t="s">
        <v>893</v>
      </c>
      <c r="O24" s="5" t="s">
        <v>113</v>
      </c>
      <c r="P24" s="5" t="s">
        <v>841</v>
      </c>
      <c r="Q24" s="5" t="s">
        <v>372</v>
      </c>
      <c r="R24" s="5" t="s">
        <v>874</v>
      </c>
      <c r="S24" s="7" t="s">
        <v>1210</v>
      </c>
    </row>
    <row r="25" spans="1:19" ht="44" customHeight="1">
      <c r="A25" s="5" t="s">
        <v>12</v>
      </c>
      <c r="B25" s="5" t="s">
        <v>406</v>
      </c>
      <c r="C25" s="5" t="s">
        <v>48</v>
      </c>
      <c r="D25" s="6">
        <v>150000000</v>
      </c>
      <c r="E25" s="8">
        <v>45771.788888888892</v>
      </c>
      <c r="F25" s="16">
        <v>45792.458333333343</v>
      </c>
      <c r="G25" s="5" t="s">
        <v>27</v>
      </c>
      <c r="H25" s="5" t="s">
        <v>680</v>
      </c>
      <c r="I25" s="5" t="s">
        <v>847</v>
      </c>
      <c r="J25" s="5" t="s">
        <v>848</v>
      </c>
      <c r="K25" s="5" t="s">
        <v>875</v>
      </c>
      <c r="L25" s="5" t="s">
        <v>113</v>
      </c>
      <c r="M25" s="5" t="s">
        <v>853</v>
      </c>
      <c r="N25" s="5" t="s">
        <v>839</v>
      </c>
      <c r="O25" s="5" t="s">
        <v>840</v>
      </c>
      <c r="P25" s="5" t="s">
        <v>841</v>
      </c>
      <c r="Q25" s="5" t="s">
        <v>372</v>
      </c>
      <c r="R25" s="5" t="s">
        <v>843</v>
      </c>
      <c r="S25" s="7" t="s">
        <v>407</v>
      </c>
    </row>
    <row r="26" spans="1:19" ht="44" customHeight="1">
      <c r="A26" s="5" t="s">
        <v>12</v>
      </c>
      <c r="B26" s="5" t="s">
        <v>1211</v>
      </c>
      <c r="C26" s="5" t="s">
        <v>472</v>
      </c>
      <c r="D26" s="6">
        <v>95840000</v>
      </c>
      <c r="E26" s="8">
        <v>45775.445833333331</v>
      </c>
      <c r="F26" s="16">
        <v>45789.5</v>
      </c>
      <c r="G26" s="5" t="s">
        <v>27</v>
      </c>
      <c r="H26" s="5" t="s">
        <v>113</v>
      </c>
      <c r="I26" s="5" t="s">
        <v>847</v>
      </c>
      <c r="J26" s="5" t="s">
        <v>848</v>
      </c>
      <c r="K26" s="5" t="s">
        <v>875</v>
      </c>
      <c r="L26" s="5" t="s">
        <v>872</v>
      </c>
      <c r="M26" s="5" t="s">
        <v>853</v>
      </c>
      <c r="N26" s="5" t="s">
        <v>839</v>
      </c>
      <c r="O26" s="5" t="s">
        <v>840</v>
      </c>
      <c r="P26" s="5" t="s">
        <v>841</v>
      </c>
      <c r="Q26" s="5" t="s">
        <v>372</v>
      </c>
      <c r="R26" s="5" t="s">
        <v>843</v>
      </c>
      <c r="S26" s="7" t="s">
        <v>1212</v>
      </c>
    </row>
    <row r="27" spans="1:19" ht="44" customHeight="1">
      <c r="A27" s="5" t="s">
        <v>12</v>
      </c>
      <c r="B27" s="5" t="s">
        <v>1213</v>
      </c>
      <c r="C27" s="5" t="s">
        <v>1214</v>
      </c>
      <c r="D27" s="6">
        <v>109030900</v>
      </c>
      <c r="E27" s="8">
        <v>45775.45416666667</v>
      </c>
      <c r="F27" s="16">
        <v>45786.416666666657</v>
      </c>
      <c r="G27" s="5" t="s">
        <v>27</v>
      </c>
      <c r="H27" s="5" t="s">
        <v>113</v>
      </c>
      <c r="I27" s="17" t="s">
        <v>851</v>
      </c>
      <c r="J27" s="5" t="s">
        <v>852</v>
      </c>
      <c r="K27" s="5" t="s">
        <v>113</v>
      </c>
      <c r="L27" s="5" t="s">
        <v>113</v>
      </c>
      <c r="M27" s="5" t="s">
        <v>853</v>
      </c>
      <c r="N27" s="5" t="s">
        <v>839</v>
      </c>
      <c r="O27" s="5" t="s">
        <v>840</v>
      </c>
      <c r="P27" s="5" t="s">
        <v>865</v>
      </c>
      <c r="Q27" s="5" t="s">
        <v>381</v>
      </c>
      <c r="R27" s="5" t="s">
        <v>843</v>
      </c>
      <c r="S27" s="7" t="s">
        <v>1215</v>
      </c>
    </row>
    <row r="28" spans="1:19" ht="44" customHeight="1">
      <c r="A28" s="5" t="s">
        <v>12</v>
      </c>
      <c r="B28" s="5" t="s">
        <v>1206</v>
      </c>
      <c r="C28" s="5" t="s">
        <v>1207</v>
      </c>
      <c r="D28" s="6">
        <v>25000000</v>
      </c>
      <c r="E28" s="8">
        <v>45776.657638888893</v>
      </c>
      <c r="F28" s="16">
        <v>45785.583333333343</v>
      </c>
      <c r="G28" s="5" t="s">
        <v>27</v>
      </c>
      <c r="H28" s="5" t="s">
        <v>113</v>
      </c>
      <c r="I28" s="17" t="s">
        <v>851</v>
      </c>
      <c r="J28" s="5" t="s">
        <v>852</v>
      </c>
      <c r="K28" s="5" t="s">
        <v>113</v>
      </c>
      <c r="L28" s="5" t="s">
        <v>113</v>
      </c>
      <c r="M28" s="5" t="s">
        <v>853</v>
      </c>
      <c r="N28" s="5" t="s">
        <v>839</v>
      </c>
      <c r="O28" s="5" t="s">
        <v>841</v>
      </c>
      <c r="P28" s="5" t="s">
        <v>841</v>
      </c>
      <c r="Q28" s="5" t="s">
        <v>372</v>
      </c>
      <c r="R28" s="5" t="s">
        <v>843</v>
      </c>
      <c r="S28" s="7" t="s">
        <v>1216</v>
      </c>
    </row>
    <row r="29" spans="1:19" ht="44" customHeight="1">
      <c r="A29" s="5" t="s">
        <v>12</v>
      </c>
      <c r="B29" s="5" t="s">
        <v>1217</v>
      </c>
      <c r="C29" s="5" t="s">
        <v>1218</v>
      </c>
      <c r="D29" s="6">
        <v>30000000</v>
      </c>
      <c r="E29" s="8">
        <v>45777.609027777777</v>
      </c>
      <c r="F29" s="16">
        <v>45785.416666666657</v>
      </c>
      <c r="G29" s="5" t="s">
        <v>27</v>
      </c>
      <c r="H29" s="5" t="s">
        <v>113</v>
      </c>
      <c r="I29" s="5" t="s">
        <v>837</v>
      </c>
      <c r="J29" s="5" t="s">
        <v>838</v>
      </c>
      <c r="K29" s="5" t="s">
        <v>113</v>
      </c>
      <c r="L29" s="5" t="s">
        <v>113</v>
      </c>
      <c r="M29" s="5" t="s">
        <v>99</v>
      </c>
      <c r="N29" s="5" t="s">
        <v>839</v>
      </c>
      <c r="O29" s="5" t="s">
        <v>841</v>
      </c>
      <c r="P29" s="5" t="s">
        <v>841</v>
      </c>
      <c r="Q29" s="5" t="s">
        <v>1219</v>
      </c>
      <c r="R29" s="5" t="s">
        <v>1220</v>
      </c>
      <c r="S29" s="7" t="s">
        <v>1221</v>
      </c>
    </row>
    <row r="30" spans="1:19" ht="44" customHeight="1">
      <c r="A30" s="5" t="s">
        <v>12</v>
      </c>
      <c r="B30" s="5" t="s">
        <v>1217</v>
      </c>
      <c r="C30" s="5" t="s">
        <v>1218</v>
      </c>
      <c r="D30" s="6">
        <v>30000000</v>
      </c>
      <c r="E30" s="8">
        <v>45785.658333333333</v>
      </c>
      <c r="F30" s="16">
        <v>45790.416666666657</v>
      </c>
      <c r="G30" s="5" t="s">
        <v>27</v>
      </c>
      <c r="H30" s="5" t="s">
        <v>113</v>
      </c>
      <c r="I30" s="5" t="s">
        <v>837</v>
      </c>
      <c r="J30" s="5" t="s">
        <v>838</v>
      </c>
      <c r="K30" s="5" t="s">
        <v>113</v>
      </c>
      <c r="L30" s="5" t="s">
        <v>113</v>
      </c>
      <c r="M30" s="5" t="s">
        <v>99</v>
      </c>
      <c r="N30" s="5" t="s">
        <v>839</v>
      </c>
      <c r="O30" s="5" t="s">
        <v>840</v>
      </c>
      <c r="P30" s="5" t="s">
        <v>841</v>
      </c>
      <c r="Q30" s="5" t="s">
        <v>1219</v>
      </c>
      <c r="R30" s="5" t="s">
        <v>1222</v>
      </c>
      <c r="S30" s="7" t="s">
        <v>1223</v>
      </c>
    </row>
    <row r="31" spans="1:19" ht="44" customHeight="1">
      <c r="A31" s="5" t="s">
        <v>12</v>
      </c>
      <c r="B31" s="5" t="s">
        <v>1224</v>
      </c>
      <c r="C31" s="5" t="s">
        <v>1225</v>
      </c>
      <c r="D31" s="6">
        <v>30000000</v>
      </c>
      <c r="E31" s="8">
        <v>45785.694444444453</v>
      </c>
      <c r="F31" s="16">
        <v>45785.75</v>
      </c>
      <c r="G31" s="5" t="s">
        <v>27</v>
      </c>
      <c r="H31" s="5" t="s">
        <v>113</v>
      </c>
      <c r="I31" s="17" t="s">
        <v>851</v>
      </c>
      <c r="J31" s="5" t="s">
        <v>852</v>
      </c>
      <c r="K31" s="5" t="s">
        <v>113</v>
      </c>
      <c r="L31" s="5" t="s">
        <v>113</v>
      </c>
      <c r="M31" s="5" t="s">
        <v>113</v>
      </c>
      <c r="N31" s="5" t="s">
        <v>839</v>
      </c>
      <c r="O31" s="5" t="s">
        <v>113</v>
      </c>
      <c r="P31" s="5" t="s">
        <v>841</v>
      </c>
      <c r="Q31" s="5" t="s">
        <v>719</v>
      </c>
      <c r="R31" s="5" t="s">
        <v>874</v>
      </c>
      <c r="S31" s="7" t="s">
        <v>1226</v>
      </c>
    </row>
    <row r="32" spans="1:19" ht="44" customHeight="1">
      <c r="A32" s="5" t="s">
        <v>12</v>
      </c>
      <c r="B32" s="5" t="s">
        <v>1227</v>
      </c>
      <c r="C32" s="5" t="s">
        <v>1192</v>
      </c>
      <c r="D32" s="6">
        <v>45000000</v>
      </c>
      <c r="E32" s="8">
        <v>45789.556250000001</v>
      </c>
      <c r="F32" s="16" t="s">
        <v>113</v>
      </c>
      <c r="G32" s="5" t="s">
        <v>27</v>
      </c>
      <c r="H32" s="5" t="s">
        <v>113</v>
      </c>
      <c r="I32" s="17" t="s">
        <v>851</v>
      </c>
      <c r="J32" s="5" t="s">
        <v>852</v>
      </c>
      <c r="K32" s="5" t="s">
        <v>113</v>
      </c>
      <c r="L32" s="5" t="s">
        <v>113</v>
      </c>
      <c r="M32" s="5" t="s">
        <v>113</v>
      </c>
      <c r="N32" s="5" t="s">
        <v>839</v>
      </c>
      <c r="O32" s="5" t="s">
        <v>113</v>
      </c>
      <c r="P32" s="5" t="s">
        <v>841</v>
      </c>
      <c r="Q32" s="5" t="s">
        <v>1193</v>
      </c>
      <c r="R32" s="5" t="s">
        <v>874</v>
      </c>
      <c r="S32" s="7" t="s">
        <v>1228</v>
      </c>
    </row>
    <row r="33" spans="1:19" ht="44" customHeight="1">
      <c r="A33" s="5" t="s">
        <v>12</v>
      </c>
      <c r="B33" s="5" t="s">
        <v>1229</v>
      </c>
      <c r="C33" s="5" t="s">
        <v>1230</v>
      </c>
      <c r="D33" s="6">
        <v>49984000</v>
      </c>
      <c r="E33" s="8">
        <v>45799.497916666667</v>
      </c>
      <c r="F33" s="16">
        <v>45810.666666666657</v>
      </c>
      <c r="G33" s="5" t="s">
        <v>27</v>
      </c>
      <c r="H33" s="5" t="s">
        <v>1231</v>
      </c>
      <c r="I33" s="5" t="s">
        <v>837</v>
      </c>
      <c r="J33" s="5" t="s">
        <v>838</v>
      </c>
      <c r="K33" s="5" t="s">
        <v>113</v>
      </c>
      <c r="L33" s="5" t="s">
        <v>113</v>
      </c>
      <c r="M33" s="5" t="s">
        <v>99</v>
      </c>
      <c r="N33" s="5" t="s">
        <v>839</v>
      </c>
      <c r="O33" s="5" t="s">
        <v>840</v>
      </c>
      <c r="P33" s="5" t="s">
        <v>841</v>
      </c>
      <c r="Q33" s="5" t="s">
        <v>372</v>
      </c>
      <c r="R33" s="5" t="s">
        <v>1232</v>
      </c>
      <c r="S33" s="7" t="s">
        <v>1233</v>
      </c>
    </row>
    <row r="34" spans="1:19" ht="44" customHeight="1">
      <c r="A34" s="5" t="s">
        <v>12</v>
      </c>
      <c r="B34" s="5" t="s">
        <v>1234</v>
      </c>
      <c r="C34" s="5" t="s">
        <v>48</v>
      </c>
      <c r="D34" s="6">
        <v>40000000</v>
      </c>
      <c r="E34" s="8">
        <v>45800.791666666657</v>
      </c>
      <c r="F34" s="16">
        <v>45813.458333333343</v>
      </c>
      <c r="G34" s="5" t="s">
        <v>27</v>
      </c>
      <c r="H34" s="5" t="s">
        <v>1235</v>
      </c>
      <c r="I34" s="5" t="s">
        <v>847</v>
      </c>
      <c r="J34" s="5" t="s">
        <v>848</v>
      </c>
      <c r="K34" s="5" t="s">
        <v>868</v>
      </c>
      <c r="L34" s="5" t="s">
        <v>113</v>
      </c>
      <c r="M34" s="5" t="s">
        <v>853</v>
      </c>
      <c r="N34" s="5" t="s">
        <v>839</v>
      </c>
      <c r="O34" s="5" t="s">
        <v>840</v>
      </c>
      <c r="P34" s="5" t="s">
        <v>841</v>
      </c>
      <c r="Q34" s="5" t="s">
        <v>372</v>
      </c>
      <c r="R34" s="5" t="s">
        <v>843</v>
      </c>
      <c r="S34" s="7" t="s">
        <v>1236</v>
      </c>
    </row>
    <row r="35" spans="1:19" ht="44" customHeight="1">
      <c r="A35" s="5" t="s">
        <v>12</v>
      </c>
      <c r="B35" s="5" t="s">
        <v>1237</v>
      </c>
      <c r="C35" s="5" t="s">
        <v>1238</v>
      </c>
      <c r="D35" s="6">
        <v>33000000</v>
      </c>
      <c r="E35" s="8">
        <v>45819.761805555558</v>
      </c>
      <c r="F35" s="16">
        <v>45831.416666666657</v>
      </c>
      <c r="G35" s="5" t="s">
        <v>27</v>
      </c>
      <c r="H35" s="5" t="s">
        <v>1025</v>
      </c>
      <c r="I35" s="17" t="s">
        <v>851</v>
      </c>
      <c r="J35" s="5" t="s">
        <v>852</v>
      </c>
      <c r="K35" s="5" t="s">
        <v>113</v>
      </c>
      <c r="L35" s="5" t="s">
        <v>113</v>
      </c>
      <c r="M35" s="5" t="s">
        <v>853</v>
      </c>
      <c r="N35" s="5" t="s">
        <v>839</v>
      </c>
      <c r="O35" s="5" t="s">
        <v>841</v>
      </c>
      <c r="P35" s="5" t="s">
        <v>841</v>
      </c>
      <c r="Q35" s="5" t="s">
        <v>372</v>
      </c>
      <c r="R35" s="5" t="s">
        <v>843</v>
      </c>
      <c r="S35" s="7" t="s">
        <v>1239</v>
      </c>
    </row>
    <row r="36" spans="1:19" ht="44" customHeight="1">
      <c r="A36" s="5" t="s">
        <v>12</v>
      </c>
      <c r="B36" s="5" t="s">
        <v>1240</v>
      </c>
      <c r="C36" s="5" t="s">
        <v>418</v>
      </c>
      <c r="D36" s="6">
        <v>12480000</v>
      </c>
      <c r="E36" s="8">
        <v>45827.597916666673</v>
      </c>
      <c r="F36" s="16">
        <v>45849.583333333343</v>
      </c>
      <c r="G36" s="5" t="s">
        <v>27</v>
      </c>
      <c r="H36" s="5" t="s">
        <v>113</v>
      </c>
      <c r="I36" s="17" t="s">
        <v>851</v>
      </c>
      <c r="J36" s="5" t="s">
        <v>852</v>
      </c>
      <c r="K36" s="5" t="s">
        <v>113</v>
      </c>
      <c r="L36" s="5" t="s">
        <v>113</v>
      </c>
      <c r="M36" s="5" t="s">
        <v>853</v>
      </c>
      <c r="N36" s="5" t="s">
        <v>839</v>
      </c>
      <c r="O36" s="5" t="s">
        <v>840</v>
      </c>
      <c r="P36" s="5" t="s">
        <v>841</v>
      </c>
      <c r="Q36" s="5" t="s">
        <v>372</v>
      </c>
      <c r="R36" s="5" t="s">
        <v>843</v>
      </c>
      <c r="S36" s="7" t="s">
        <v>1241</v>
      </c>
    </row>
    <row r="37" spans="1:19" ht="44" customHeight="1">
      <c r="A37" s="5" t="s">
        <v>12</v>
      </c>
      <c r="B37" s="5" t="s">
        <v>1242</v>
      </c>
      <c r="C37" s="5" t="s">
        <v>1243</v>
      </c>
      <c r="D37" s="6">
        <v>50000000</v>
      </c>
      <c r="E37" s="8">
        <v>45828.605555555558</v>
      </c>
      <c r="F37" s="16" t="s">
        <v>113</v>
      </c>
      <c r="G37" s="5" t="s">
        <v>27</v>
      </c>
      <c r="H37" s="5" t="s">
        <v>1244</v>
      </c>
      <c r="I37" s="17" t="s">
        <v>851</v>
      </c>
      <c r="J37" s="5" t="s">
        <v>852</v>
      </c>
      <c r="K37" s="5" t="s">
        <v>113</v>
      </c>
      <c r="L37" s="5" t="s">
        <v>113</v>
      </c>
      <c r="M37" s="5" t="s">
        <v>113</v>
      </c>
      <c r="N37" s="5" t="s">
        <v>839</v>
      </c>
      <c r="O37" s="5" t="s">
        <v>113</v>
      </c>
      <c r="P37" s="5" t="s">
        <v>841</v>
      </c>
      <c r="Q37" s="5" t="s">
        <v>578</v>
      </c>
      <c r="R37" s="5" t="s">
        <v>874</v>
      </c>
      <c r="S37" s="7" t="s">
        <v>1245</v>
      </c>
    </row>
    <row r="38" spans="1:19" ht="44" customHeight="1">
      <c r="A38" s="5" t="s">
        <v>12</v>
      </c>
      <c r="B38" s="5" t="s">
        <v>723</v>
      </c>
      <c r="C38" s="5" t="s">
        <v>718</v>
      </c>
      <c r="D38" s="6">
        <v>10000000</v>
      </c>
      <c r="E38" s="8">
        <v>45849.446527777778</v>
      </c>
      <c r="F38" s="16">
        <v>45860.625</v>
      </c>
      <c r="G38" s="5" t="s">
        <v>27</v>
      </c>
      <c r="H38" s="5" t="s">
        <v>708</v>
      </c>
      <c r="I38" s="17" t="s">
        <v>851</v>
      </c>
      <c r="J38" s="5" t="s">
        <v>852</v>
      </c>
      <c r="K38" s="5" t="s">
        <v>113</v>
      </c>
      <c r="L38" s="5" t="s">
        <v>113</v>
      </c>
      <c r="M38" s="5" t="s">
        <v>113</v>
      </c>
      <c r="N38" s="5" t="s">
        <v>839</v>
      </c>
      <c r="O38" s="5" t="s">
        <v>113</v>
      </c>
      <c r="P38" s="5" t="s">
        <v>841</v>
      </c>
      <c r="Q38" s="5" t="s">
        <v>372</v>
      </c>
      <c r="R38" s="5" t="s">
        <v>874</v>
      </c>
      <c r="S38" s="7" t="s">
        <v>724</v>
      </c>
    </row>
    <row r="39" spans="1:19" ht="44" customHeight="1">
      <c r="A39" s="5" t="s">
        <v>12</v>
      </c>
      <c r="B39" s="5" t="s">
        <v>1246</v>
      </c>
      <c r="C39" s="5" t="s">
        <v>892</v>
      </c>
      <c r="D39" s="6">
        <v>119850000</v>
      </c>
      <c r="E39" s="8">
        <v>45849.748611111107</v>
      </c>
      <c r="F39" s="16" t="s">
        <v>113</v>
      </c>
      <c r="G39" s="5" t="s">
        <v>27</v>
      </c>
      <c r="H39" s="5" t="s">
        <v>113</v>
      </c>
      <c r="I39" s="17" t="s">
        <v>851</v>
      </c>
      <c r="J39" s="5" t="s">
        <v>852</v>
      </c>
      <c r="K39" s="5" t="s">
        <v>113</v>
      </c>
      <c r="L39" s="5" t="s">
        <v>113</v>
      </c>
      <c r="M39" s="5" t="s">
        <v>113</v>
      </c>
      <c r="N39" s="5" t="s">
        <v>893</v>
      </c>
      <c r="O39" s="5" t="s">
        <v>113</v>
      </c>
      <c r="P39" s="5" t="s">
        <v>841</v>
      </c>
      <c r="Q39" s="5" t="s">
        <v>372</v>
      </c>
      <c r="R39" s="5" t="s">
        <v>874</v>
      </c>
      <c r="S39" s="7" t="s">
        <v>1247</v>
      </c>
    </row>
    <row r="40" spans="1:19" ht="44" customHeight="1">
      <c r="A40" s="5" t="s">
        <v>12</v>
      </c>
      <c r="B40" s="5" t="s">
        <v>1248</v>
      </c>
      <c r="C40" s="5" t="s">
        <v>892</v>
      </c>
      <c r="D40" s="6">
        <v>49903000</v>
      </c>
      <c r="E40" s="8">
        <v>45849.75</v>
      </c>
      <c r="F40" s="16" t="s">
        <v>113</v>
      </c>
      <c r="G40" s="5" t="s">
        <v>27</v>
      </c>
      <c r="H40" s="5" t="s">
        <v>113</v>
      </c>
      <c r="I40" s="17" t="s">
        <v>851</v>
      </c>
      <c r="J40" s="5" t="s">
        <v>852</v>
      </c>
      <c r="K40" s="5" t="s">
        <v>113</v>
      </c>
      <c r="L40" s="5" t="s">
        <v>113</v>
      </c>
      <c r="M40" s="5" t="s">
        <v>113</v>
      </c>
      <c r="N40" s="5" t="s">
        <v>893</v>
      </c>
      <c r="O40" s="5" t="s">
        <v>113</v>
      </c>
      <c r="P40" s="5" t="s">
        <v>841</v>
      </c>
      <c r="Q40" s="5" t="s">
        <v>372</v>
      </c>
      <c r="R40" s="5" t="s">
        <v>874</v>
      </c>
      <c r="S40" s="7" t="s">
        <v>1249</v>
      </c>
    </row>
    <row r="41" spans="1:19" ht="44" customHeight="1">
      <c r="A41" s="5" t="s">
        <v>12</v>
      </c>
      <c r="B41" s="5" t="s">
        <v>776</v>
      </c>
      <c r="C41" s="5" t="s">
        <v>777</v>
      </c>
      <c r="D41" s="6">
        <v>120000000</v>
      </c>
      <c r="E41" s="8">
        <v>45856.714583333327</v>
      </c>
      <c r="F41" s="16" t="s">
        <v>113</v>
      </c>
      <c r="G41" s="5" t="s">
        <v>27</v>
      </c>
      <c r="H41" s="5" t="s">
        <v>1250</v>
      </c>
      <c r="I41" s="5" t="s">
        <v>847</v>
      </c>
      <c r="J41" s="5" t="s">
        <v>848</v>
      </c>
      <c r="K41" s="5" t="s">
        <v>942</v>
      </c>
      <c r="L41" s="5" t="s">
        <v>872</v>
      </c>
      <c r="M41" s="5" t="s">
        <v>113</v>
      </c>
      <c r="N41" s="5" t="s">
        <v>839</v>
      </c>
      <c r="O41" s="5" t="s">
        <v>113</v>
      </c>
      <c r="P41" s="5" t="s">
        <v>841</v>
      </c>
      <c r="Q41" s="5" t="s">
        <v>372</v>
      </c>
      <c r="R41" s="5" t="s">
        <v>874</v>
      </c>
      <c r="S41" s="7" t="s">
        <v>778</v>
      </c>
    </row>
    <row r="42" spans="1:19" ht="44" customHeight="1">
      <c r="A42" s="5" t="s">
        <v>12</v>
      </c>
      <c r="B42" s="5" t="s">
        <v>1251</v>
      </c>
      <c r="C42" s="5" t="s">
        <v>1252</v>
      </c>
      <c r="D42" s="6">
        <v>54000000</v>
      </c>
      <c r="E42" s="8">
        <v>45860.663194444453</v>
      </c>
      <c r="F42" s="16">
        <v>45868.583333333343</v>
      </c>
      <c r="G42" s="5" t="s">
        <v>27</v>
      </c>
      <c r="H42" s="5" t="s">
        <v>1253</v>
      </c>
      <c r="I42" s="17" t="s">
        <v>851</v>
      </c>
      <c r="J42" s="5" t="s">
        <v>852</v>
      </c>
      <c r="K42" s="5" t="s">
        <v>113</v>
      </c>
      <c r="L42" s="5" t="s">
        <v>113</v>
      </c>
      <c r="M42" s="5" t="s">
        <v>853</v>
      </c>
      <c r="N42" s="5" t="s">
        <v>839</v>
      </c>
      <c r="O42" s="5" t="s">
        <v>841</v>
      </c>
      <c r="P42" s="5" t="s">
        <v>841</v>
      </c>
      <c r="Q42" s="5" t="s">
        <v>372</v>
      </c>
      <c r="R42" s="5" t="s">
        <v>843</v>
      </c>
      <c r="S42" s="7" t="s">
        <v>1254</v>
      </c>
    </row>
    <row r="43" spans="1:19" ht="44" customHeight="1">
      <c r="A43" s="5" t="s">
        <v>12</v>
      </c>
      <c r="B43" s="5" t="s">
        <v>1255</v>
      </c>
      <c r="C43" s="5" t="s">
        <v>892</v>
      </c>
      <c r="D43" s="6">
        <v>119850000</v>
      </c>
      <c r="E43" s="8">
        <v>45863.700694444437</v>
      </c>
      <c r="F43" s="16" t="s">
        <v>113</v>
      </c>
      <c r="G43" s="5" t="s">
        <v>27</v>
      </c>
      <c r="H43" s="5" t="s">
        <v>113</v>
      </c>
      <c r="I43" s="17" t="s">
        <v>851</v>
      </c>
      <c r="J43" s="5" t="s">
        <v>852</v>
      </c>
      <c r="K43" s="5" t="s">
        <v>113</v>
      </c>
      <c r="L43" s="5" t="s">
        <v>113</v>
      </c>
      <c r="M43" s="5" t="s">
        <v>113</v>
      </c>
      <c r="N43" s="5" t="s">
        <v>893</v>
      </c>
      <c r="O43" s="5" t="s">
        <v>113</v>
      </c>
      <c r="P43" s="5" t="s">
        <v>841</v>
      </c>
      <c r="Q43" s="5" t="s">
        <v>372</v>
      </c>
      <c r="R43" s="5" t="s">
        <v>874</v>
      </c>
      <c r="S43" s="7" t="s">
        <v>1256</v>
      </c>
    </row>
    <row r="44" spans="1:19" ht="44" customHeight="1">
      <c r="A44" s="5" t="s">
        <v>12</v>
      </c>
      <c r="B44" s="5" t="s">
        <v>586</v>
      </c>
      <c r="C44" s="5" t="s">
        <v>587</v>
      </c>
      <c r="D44" s="6">
        <v>390000000</v>
      </c>
      <c r="E44" s="8">
        <v>45898.763194444437</v>
      </c>
      <c r="F44" s="16">
        <v>45910.666666666657</v>
      </c>
      <c r="G44" s="5" t="s">
        <v>27</v>
      </c>
      <c r="H44" s="5" t="s">
        <v>736</v>
      </c>
      <c r="I44" s="5" t="s">
        <v>847</v>
      </c>
      <c r="J44" s="5" t="s">
        <v>848</v>
      </c>
      <c r="K44" s="5" t="s">
        <v>1257</v>
      </c>
      <c r="L44" s="5" t="s">
        <v>113</v>
      </c>
      <c r="M44" s="5" t="s">
        <v>99</v>
      </c>
      <c r="N44" s="5" t="s">
        <v>839</v>
      </c>
      <c r="O44" s="5" t="s">
        <v>840</v>
      </c>
      <c r="P44" s="5" t="s">
        <v>841</v>
      </c>
      <c r="Q44" s="5" t="s">
        <v>372</v>
      </c>
      <c r="R44" s="5" t="s">
        <v>1258</v>
      </c>
      <c r="S44" s="7" t="s">
        <v>588</v>
      </c>
    </row>
    <row r="45" spans="1:19" ht="44" customHeight="1">
      <c r="A45" s="5" t="s">
        <v>12</v>
      </c>
      <c r="B45" s="5" t="s">
        <v>1259</v>
      </c>
      <c r="C45" s="5" t="s">
        <v>534</v>
      </c>
      <c r="D45" s="6">
        <v>34400000</v>
      </c>
      <c r="E45" s="8">
        <v>45901.382638888892</v>
      </c>
      <c r="F45" s="16" t="s">
        <v>113</v>
      </c>
      <c r="G45" s="5" t="s">
        <v>27</v>
      </c>
      <c r="H45" s="5" t="s">
        <v>1260</v>
      </c>
      <c r="I45" s="5" t="s">
        <v>847</v>
      </c>
      <c r="J45" s="5" t="s">
        <v>848</v>
      </c>
      <c r="K45" s="5" t="s">
        <v>1261</v>
      </c>
      <c r="L45" s="5" t="s">
        <v>113</v>
      </c>
      <c r="M45" s="5" t="s">
        <v>113</v>
      </c>
      <c r="N45" s="5" t="s">
        <v>839</v>
      </c>
      <c r="O45" s="5" t="s">
        <v>113</v>
      </c>
      <c r="P45" s="5" t="s">
        <v>841</v>
      </c>
      <c r="Q45" s="5" t="s">
        <v>372</v>
      </c>
      <c r="R45" s="5" t="s">
        <v>874</v>
      </c>
      <c r="S45" s="7" t="s">
        <v>1262</v>
      </c>
    </row>
    <row r="46" spans="1:19" ht="44" customHeight="1">
      <c r="A46" s="5" t="s">
        <v>12</v>
      </c>
      <c r="B46" s="5" t="s">
        <v>1263</v>
      </c>
      <c r="C46" s="5" t="s">
        <v>1264</v>
      </c>
      <c r="D46" s="6">
        <v>27650000</v>
      </c>
      <c r="E46" s="8">
        <v>45944.558333333327</v>
      </c>
      <c r="F46" s="16" t="s">
        <v>113</v>
      </c>
      <c r="G46" s="5" t="s">
        <v>27</v>
      </c>
      <c r="H46" s="5" t="s">
        <v>1265</v>
      </c>
      <c r="I46" s="17" t="s">
        <v>851</v>
      </c>
      <c r="J46" s="5" t="s">
        <v>852</v>
      </c>
      <c r="K46" s="5" t="s">
        <v>113</v>
      </c>
      <c r="L46" s="5" t="s">
        <v>113</v>
      </c>
      <c r="M46" s="5" t="s">
        <v>113</v>
      </c>
      <c r="N46" s="5" t="s">
        <v>839</v>
      </c>
      <c r="O46" s="5" t="s">
        <v>113</v>
      </c>
      <c r="P46" s="5" t="s">
        <v>841</v>
      </c>
      <c r="Q46" s="5" t="s">
        <v>372</v>
      </c>
      <c r="R46" s="5" t="s">
        <v>874</v>
      </c>
      <c r="S46" s="7" t="s">
        <v>1266</v>
      </c>
    </row>
    <row r="47" spans="1:19" ht="44" customHeight="1">
      <c r="A47" s="5" t="s">
        <v>12</v>
      </c>
      <c r="B47" s="5" t="s">
        <v>1267</v>
      </c>
      <c r="C47" s="5" t="s">
        <v>25</v>
      </c>
      <c r="D47" s="6">
        <v>43000000</v>
      </c>
      <c r="E47" s="8">
        <v>45944.800694444442</v>
      </c>
      <c r="F47" s="16">
        <v>45950.416666666657</v>
      </c>
      <c r="G47" s="5" t="s">
        <v>27</v>
      </c>
      <c r="H47" s="5" t="s">
        <v>1268</v>
      </c>
      <c r="I47" s="5" t="s">
        <v>847</v>
      </c>
      <c r="J47" s="5" t="s">
        <v>848</v>
      </c>
      <c r="K47" s="5" t="s">
        <v>942</v>
      </c>
      <c r="L47" s="5" t="s">
        <v>872</v>
      </c>
      <c r="M47" s="5" t="s">
        <v>853</v>
      </c>
      <c r="N47" s="5" t="s">
        <v>839</v>
      </c>
      <c r="O47" s="5" t="s">
        <v>841</v>
      </c>
      <c r="P47" s="5" t="s">
        <v>841</v>
      </c>
      <c r="Q47" s="5" t="s">
        <v>578</v>
      </c>
      <c r="R47" s="5" t="s">
        <v>843</v>
      </c>
      <c r="S47" s="7" t="s">
        <v>1269</v>
      </c>
    </row>
    <row r="48" spans="1:19" ht="44" customHeight="1">
      <c r="A48" s="5" t="s">
        <v>12</v>
      </c>
      <c r="B48" s="5" t="s">
        <v>1270</v>
      </c>
      <c r="C48" s="5" t="s">
        <v>1192</v>
      </c>
      <c r="D48" s="6">
        <v>43000000</v>
      </c>
      <c r="E48" s="8">
        <v>45945.556944444441</v>
      </c>
      <c r="F48" s="16" t="s">
        <v>113</v>
      </c>
      <c r="G48" s="5" t="s">
        <v>27</v>
      </c>
      <c r="H48" s="5" t="s">
        <v>113</v>
      </c>
      <c r="I48" s="17" t="s">
        <v>851</v>
      </c>
      <c r="J48" s="5" t="s">
        <v>852</v>
      </c>
      <c r="K48" s="5" t="s">
        <v>113</v>
      </c>
      <c r="L48" s="5" t="s">
        <v>113</v>
      </c>
      <c r="M48" s="5" t="s">
        <v>113</v>
      </c>
      <c r="N48" s="5" t="s">
        <v>839</v>
      </c>
      <c r="O48" s="5" t="s">
        <v>113</v>
      </c>
      <c r="P48" s="5" t="s">
        <v>841</v>
      </c>
      <c r="Q48" s="5" t="s">
        <v>1193</v>
      </c>
      <c r="R48" s="5" t="s">
        <v>874</v>
      </c>
      <c r="S48" s="7" t="s">
        <v>1271</v>
      </c>
    </row>
    <row r="49" spans="1:19" ht="44" customHeight="1">
      <c r="A49" s="5" t="s">
        <v>12</v>
      </c>
      <c r="B49" s="5" t="s">
        <v>1272</v>
      </c>
      <c r="C49" s="5" t="s">
        <v>1273</v>
      </c>
      <c r="D49" s="6">
        <v>22000000</v>
      </c>
      <c r="E49" s="8">
        <v>45947.646527777782</v>
      </c>
      <c r="F49" s="16" t="s">
        <v>113</v>
      </c>
      <c r="G49" s="5" t="s">
        <v>27</v>
      </c>
      <c r="H49" s="5" t="s">
        <v>113</v>
      </c>
      <c r="I49" s="17" t="s">
        <v>851</v>
      </c>
      <c r="J49" s="5" t="s">
        <v>852</v>
      </c>
      <c r="K49" s="5" t="s">
        <v>113</v>
      </c>
      <c r="L49" s="5" t="s">
        <v>113</v>
      </c>
      <c r="M49" s="5" t="s">
        <v>113</v>
      </c>
      <c r="N49" s="5" t="s">
        <v>839</v>
      </c>
      <c r="O49" s="5" t="s">
        <v>113</v>
      </c>
      <c r="P49" s="5" t="s">
        <v>841</v>
      </c>
      <c r="Q49" s="5" t="s">
        <v>372</v>
      </c>
      <c r="R49" s="5" t="s">
        <v>874</v>
      </c>
      <c r="S49" s="7" t="s">
        <v>1274</v>
      </c>
    </row>
    <row r="50" spans="1:19" ht="44" customHeight="1">
      <c r="A50" s="5" t="s">
        <v>12</v>
      </c>
      <c r="B50" s="5" t="s">
        <v>1275</v>
      </c>
      <c r="C50" s="5" t="s">
        <v>1276</v>
      </c>
      <c r="D50" s="6">
        <v>35000000</v>
      </c>
      <c r="E50" s="8">
        <v>45947.68472222222</v>
      </c>
      <c r="F50" s="16" t="s">
        <v>113</v>
      </c>
      <c r="G50" s="5" t="s">
        <v>27</v>
      </c>
      <c r="H50" s="5" t="s">
        <v>113</v>
      </c>
      <c r="I50" s="17" t="s">
        <v>851</v>
      </c>
      <c r="J50" s="5" t="s">
        <v>852</v>
      </c>
      <c r="K50" s="5" t="s">
        <v>113</v>
      </c>
      <c r="L50" s="5" t="s">
        <v>113</v>
      </c>
      <c r="M50" s="5" t="s">
        <v>113</v>
      </c>
      <c r="N50" s="5" t="s">
        <v>839</v>
      </c>
      <c r="O50" s="5" t="s">
        <v>113</v>
      </c>
      <c r="P50" s="5" t="s">
        <v>841</v>
      </c>
      <c r="Q50" s="5" t="s">
        <v>372</v>
      </c>
      <c r="R50" s="5" t="s">
        <v>874</v>
      </c>
      <c r="S50" s="7" t="s">
        <v>1277</v>
      </c>
    </row>
    <row r="51" spans="1:19" ht="44" customHeight="1">
      <c r="A51" s="5" t="s">
        <v>12</v>
      </c>
      <c r="B51" s="5" t="s">
        <v>1275</v>
      </c>
      <c r="C51" s="5" t="s">
        <v>1276</v>
      </c>
      <c r="D51" s="6">
        <v>35000000</v>
      </c>
      <c r="E51" s="8">
        <v>45957.720138888893</v>
      </c>
      <c r="F51" s="16" t="s">
        <v>113</v>
      </c>
      <c r="G51" s="5" t="s">
        <v>27</v>
      </c>
      <c r="H51" s="5" t="s">
        <v>113</v>
      </c>
      <c r="I51" s="17" t="s">
        <v>851</v>
      </c>
      <c r="J51" s="5" t="s">
        <v>852</v>
      </c>
      <c r="K51" s="5" t="s">
        <v>113</v>
      </c>
      <c r="L51" s="5" t="s">
        <v>113</v>
      </c>
      <c r="M51" s="5" t="s">
        <v>113</v>
      </c>
      <c r="N51" s="5" t="s">
        <v>839</v>
      </c>
      <c r="O51" s="5" t="s">
        <v>113</v>
      </c>
      <c r="P51" s="5" t="s">
        <v>841</v>
      </c>
      <c r="Q51" s="5" t="s">
        <v>372</v>
      </c>
      <c r="R51" s="5" t="s">
        <v>874</v>
      </c>
      <c r="S51" s="7" t="s">
        <v>1278</v>
      </c>
    </row>
    <row r="52" spans="1:19" ht="44" customHeight="1">
      <c r="A52" s="5" t="s">
        <v>12</v>
      </c>
      <c r="B52" s="5" t="s">
        <v>1279</v>
      </c>
      <c r="C52" s="5" t="s">
        <v>892</v>
      </c>
      <c r="D52" s="6">
        <v>119749000</v>
      </c>
      <c r="E52" s="8">
        <v>45958.387499999997</v>
      </c>
      <c r="F52" s="16" t="s">
        <v>113</v>
      </c>
      <c r="G52" s="5" t="s">
        <v>27</v>
      </c>
      <c r="H52" s="5" t="s">
        <v>113</v>
      </c>
      <c r="I52" s="17" t="s">
        <v>851</v>
      </c>
      <c r="J52" s="5" t="s">
        <v>852</v>
      </c>
      <c r="K52" s="5" t="s">
        <v>113</v>
      </c>
      <c r="L52" s="5" t="s">
        <v>113</v>
      </c>
      <c r="M52" s="5" t="s">
        <v>113</v>
      </c>
      <c r="N52" s="5" t="s">
        <v>839</v>
      </c>
      <c r="O52" s="5" t="s">
        <v>113</v>
      </c>
      <c r="P52" s="5" t="s">
        <v>841</v>
      </c>
      <c r="Q52" s="5" t="s">
        <v>372</v>
      </c>
      <c r="R52" s="5" t="s">
        <v>874</v>
      </c>
      <c r="S52" s="7" t="s">
        <v>1280</v>
      </c>
    </row>
    <row r="53" spans="1:19" ht="44" customHeight="1">
      <c r="A53" s="5" t="s">
        <v>12</v>
      </c>
      <c r="B53" s="5" t="s">
        <v>1281</v>
      </c>
      <c r="C53" s="5" t="s">
        <v>584</v>
      </c>
      <c r="D53" s="6">
        <v>80000000</v>
      </c>
      <c r="E53" s="8">
        <v>45958.42083333333</v>
      </c>
      <c r="F53" s="16" t="s">
        <v>113</v>
      </c>
      <c r="G53" s="5" t="s">
        <v>27</v>
      </c>
      <c r="H53" s="5" t="s">
        <v>113</v>
      </c>
      <c r="I53" s="17" t="s">
        <v>851</v>
      </c>
      <c r="J53" s="5" t="s">
        <v>852</v>
      </c>
      <c r="K53" s="5" t="s">
        <v>113</v>
      </c>
      <c r="L53" s="5" t="s">
        <v>113</v>
      </c>
      <c r="M53" s="5" t="s">
        <v>113</v>
      </c>
      <c r="N53" s="5" t="s">
        <v>839</v>
      </c>
      <c r="O53" s="5" t="s">
        <v>113</v>
      </c>
      <c r="P53" s="5" t="s">
        <v>841</v>
      </c>
      <c r="Q53" s="5" t="s">
        <v>372</v>
      </c>
      <c r="R53" s="5" t="s">
        <v>874</v>
      </c>
      <c r="S53" s="7" t="s">
        <v>1282</v>
      </c>
    </row>
    <row r="54" spans="1:19" ht="44" customHeight="1">
      <c r="A54" s="5" t="s">
        <v>12</v>
      </c>
      <c r="B54" s="5" t="s">
        <v>1283</v>
      </c>
      <c r="C54" s="5" t="s">
        <v>1284</v>
      </c>
      <c r="D54" s="6">
        <v>48636660</v>
      </c>
      <c r="E54" s="8">
        <v>45960.725694444453</v>
      </c>
      <c r="F54" s="16">
        <v>45972.416666666657</v>
      </c>
      <c r="G54" s="5" t="s">
        <v>27</v>
      </c>
      <c r="H54" s="5" t="s">
        <v>1285</v>
      </c>
      <c r="I54" s="5" t="s">
        <v>847</v>
      </c>
      <c r="J54" s="5" t="s">
        <v>848</v>
      </c>
      <c r="K54" s="5" t="s">
        <v>1286</v>
      </c>
      <c r="L54" s="5" t="s">
        <v>113</v>
      </c>
      <c r="M54" s="5" t="s">
        <v>853</v>
      </c>
      <c r="N54" s="5" t="s">
        <v>839</v>
      </c>
      <c r="O54" s="5" t="s">
        <v>840</v>
      </c>
      <c r="P54" s="5" t="s">
        <v>865</v>
      </c>
      <c r="Q54" s="5" t="s">
        <v>381</v>
      </c>
      <c r="R54" s="5" t="s">
        <v>843</v>
      </c>
      <c r="S54" s="7" t="s">
        <v>1287</v>
      </c>
    </row>
    <row r="55" spans="1:19" ht="44" customHeight="1">
      <c r="A55" s="5" t="s">
        <v>12</v>
      </c>
      <c r="B55" s="5" t="s">
        <v>697</v>
      </c>
      <c r="C55" s="5" t="s">
        <v>698</v>
      </c>
      <c r="D55" s="6">
        <v>85700000</v>
      </c>
      <c r="E55" s="8">
        <v>45973.563194444447</v>
      </c>
      <c r="F55" s="16">
        <v>45979.625</v>
      </c>
      <c r="G55" s="5" t="s">
        <v>27</v>
      </c>
      <c r="H55" s="5" t="s">
        <v>687</v>
      </c>
      <c r="I55" s="5" t="s">
        <v>847</v>
      </c>
      <c r="J55" s="5" t="s">
        <v>848</v>
      </c>
      <c r="K55" s="5" t="s">
        <v>868</v>
      </c>
      <c r="L55" s="5" t="s">
        <v>113</v>
      </c>
      <c r="M55" s="5" t="s">
        <v>99</v>
      </c>
      <c r="N55" s="5" t="s">
        <v>839</v>
      </c>
      <c r="O55" s="5" t="s">
        <v>840</v>
      </c>
      <c r="P55" s="5" t="s">
        <v>841</v>
      </c>
      <c r="Q55" s="5" t="s">
        <v>372</v>
      </c>
      <c r="R55" s="5" t="s">
        <v>1288</v>
      </c>
      <c r="S55" s="7" t="s">
        <v>699</v>
      </c>
    </row>
    <row r="56" spans="1:19" ht="44" customHeight="1">
      <c r="A56" s="5" t="s">
        <v>12</v>
      </c>
      <c r="B56" s="5" t="s">
        <v>1289</v>
      </c>
      <c r="C56" s="5" t="s">
        <v>1273</v>
      </c>
      <c r="D56" s="6">
        <v>20000000</v>
      </c>
      <c r="E56" s="8">
        <v>45974.763194444437</v>
      </c>
      <c r="F56" s="16" t="s">
        <v>113</v>
      </c>
      <c r="G56" s="5" t="s">
        <v>27</v>
      </c>
      <c r="H56" s="5" t="s">
        <v>113</v>
      </c>
      <c r="I56" s="5" t="s">
        <v>837</v>
      </c>
      <c r="J56" s="5" t="s">
        <v>838</v>
      </c>
      <c r="K56" s="5" t="s">
        <v>113</v>
      </c>
      <c r="L56" s="5" t="s">
        <v>113</v>
      </c>
      <c r="M56" s="5" t="s">
        <v>99</v>
      </c>
      <c r="N56" s="5" t="s">
        <v>839</v>
      </c>
      <c r="O56" s="5" t="s">
        <v>840</v>
      </c>
      <c r="P56" s="5" t="s">
        <v>841</v>
      </c>
      <c r="Q56" s="5" t="s">
        <v>372</v>
      </c>
      <c r="R56" s="5" t="s">
        <v>1290</v>
      </c>
      <c r="S56" s="7" t="s">
        <v>1291</v>
      </c>
    </row>
    <row r="57" spans="1:19" ht="44" customHeight="1">
      <c r="A57" s="5" t="s">
        <v>12</v>
      </c>
      <c r="B57" s="5" t="s">
        <v>721</v>
      </c>
      <c r="C57" s="5" t="s">
        <v>718</v>
      </c>
      <c r="D57" s="6">
        <v>9900000</v>
      </c>
      <c r="E57" s="8">
        <v>45975.40347222222</v>
      </c>
      <c r="F57" s="16">
        <v>45981.625</v>
      </c>
      <c r="G57" s="5" t="s">
        <v>27</v>
      </c>
      <c r="H57" s="5" t="s">
        <v>708</v>
      </c>
      <c r="I57" s="17" t="s">
        <v>851</v>
      </c>
      <c r="J57" s="5" t="s">
        <v>852</v>
      </c>
      <c r="K57" s="5" t="s">
        <v>113</v>
      </c>
      <c r="L57" s="5" t="s">
        <v>113</v>
      </c>
      <c r="M57" s="5" t="s">
        <v>853</v>
      </c>
      <c r="N57" s="5" t="s">
        <v>839</v>
      </c>
      <c r="O57" s="5" t="s">
        <v>840</v>
      </c>
      <c r="P57" s="5" t="s">
        <v>841</v>
      </c>
      <c r="Q57" s="5" t="s">
        <v>719</v>
      </c>
      <c r="R57" s="5" t="s">
        <v>843</v>
      </c>
      <c r="S57" s="7" t="s">
        <v>722</v>
      </c>
    </row>
    <row r="58" spans="1:19" ht="44" customHeight="1">
      <c r="A58" s="5" t="s">
        <v>12</v>
      </c>
      <c r="B58" s="5" t="s">
        <v>717</v>
      </c>
      <c r="C58" s="5" t="s">
        <v>718</v>
      </c>
      <c r="D58" s="6">
        <v>9900000</v>
      </c>
      <c r="E58" s="8">
        <v>45975.40347222222</v>
      </c>
      <c r="F58" s="16">
        <v>45981.625</v>
      </c>
      <c r="G58" s="5" t="s">
        <v>27</v>
      </c>
      <c r="H58" s="5" t="s">
        <v>708</v>
      </c>
      <c r="I58" s="17" t="s">
        <v>851</v>
      </c>
      <c r="J58" s="5" t="s">
        <v>852</v>
      </c>
      <c r="K58" s="5" t="s">
        <v>113</v>
      </c>
      <c r="L58" s="5" t="s">
        <v>113</v>
      </c>
      <c r="M58" s="5" t="s">
        <v>853</v>
      </c>
      <c r="N58" s="5" t="s">
        <v>839</v>
      </c>
      <c r="O58" s="5" t="s">
        <v>840</v>
      </c>
      <c r="P58" s="5" t="s">
        <v>841</v>
      </c>
      <c r="Q58" s="5" t="s">
        <v>719</v>
      </c>
      <c r="R58" s="5" t="s">
        <v>843</v>
      </c>
      <c r="S58" s="7" t="s">
        <v>720</v>
      </c>
    </row>
    <row r="59" spans="1:19" ht="44" customHeight="1">
      <c r="A59" s="5" t="s">
        <v>12</v>
      </c>
      <c r="B59" s="5" t="s">
        <v>490</v>
      </c>
      <c r="C59" s="5" t="s">
        <v>491</v>
      </c>
      <c r="D59" s="6">
        <v>54000000</v>
      </c>
      <c r="E59" s="8">
        <v>45978.477777777778</v>
      </c>
      <c r="F59" s="16" t="s">
        <v>113</v>
      </c>
      <c r="G59" s="5" t="s">
        <v>27</v>
      </c>
      <c r="H59" s="5" t="s">
        <v>113</v>
      </c>
      <c r="I59" s="5" t="s">
        <v>837</v>
      </c>
      <c r="J59" s="5" t="s">
        <v>838</v>
      </c>
      <c r="K59" s="5" t="s">
        <v>113</v>
      </c>
      <c r="L59" s="5" t="s">
        <v>113</v>
      </c>
      <c r="M59" s="5" t="s">
        <v>99</v>
      </c>
      <c r="N59" s="5" t="s">
        <v>839</v>
      </c>
      <c r="O59" s="5" t="s">
        <v>840</v>
      </c>
      <c r="P59" s="5" t="s">
        <v>841</v>
      </c>
      <c r="Q59" s="5" t="s">
        <v>372</v>
      </c>
      <c r="R59" s="5" t="s">
        <v>1292</v>
      </c>
      <c r="S59" s="7" t="s">
        <v>492</v>
      </c>
    </row>
    <row r="60" spans="1:19" ht="44" customHeight="1">
      <c r="A60" s="5" t="s">
        <v>12</v>
      </c>
      <c r="B60" s="5" t="s">
        <v>583</v>
      </c>
      <c r="C60" s="5" t="s">
        <v>584</v>
      </c>
      <c r="D60" s="6">
        <v>80000000</v>
      </c>
      <c r="E60" s="8">
        <v>45982.498611111107</v>
      </c>
      <c r="F60" s="16">
        <v>45993.416666666657</v>
      </c>
      <c r="G60" s="5" t="s">
        <v>27</v>
      </c>
      <c r="H60" s="5" t="s">
        <v>920</v>
      </c>
      <c r="I60" s="5" t="s">
        <v>837</v>
      </c>
      <c r="J60" s="5" t="s">
        <v>838</v>
      </c>
      <c r="K60" s="5" t="s">
        <v>113</v>
      </c>
      <c r="L60" s="5" t="s">
        <v>113</v>
      </c>
      <c r="M60" s="5" t="s">
        <v>99</v>
      </c>
      <c r="N60" s="5" t="s">
        <v>839</v>
      </c>
      <c r="O60" s="5" t="s">
        <v>840</v>
      </c>
      <c r="P60" s="5" t="s">
        <v>841</v>
      </c>
      <c r="Q60" s="5" t="s">
        <v>372</v>
      </c>
      <c r="R60" s="5" t="s">
        <v>843</v>
      </c>
      <c r="S60" s="7" t="s">
        <v>585</v>
      </c>
    </row>
    <row r="61" spans="1:19" ht="44" customHeight="1">
      <c r="A61" s="5" t="s">
        <v>12</v>
      </c>
      <c r="B61" s="5" t="s">
        <v>1293</v>
      </c>
      <c r="C61" s="5" t="s">
        <v>917</v>
      </c>
      <c r="D61" s="6">
        <v>50000000</v>
      </c>
      <c r="E61" s="8">
        <v>45982.751388888893</v>
      </c>
      <c r="F61" s="16">
        <v>45997.751388888893</v>
      </c>
      <c r="G61" s="5" t="s">
        <v>27</v>
      </c>
      <c r="H61" s="5" t="s">
        <v>113</v>
      </c>
      <c r="I61" s="17" t="s">
        <v>851</v>
      </c>
      <c r="J61" s="5" t="s">
        <v>852</v>
      </c>
      <c r="K61" s="5" t="s">
        <v>113</v>
      </c>
      <c r="L61" s="5" t="s">
        <v>113</v>
      </c>
      <c r="M61" s="5" t="s">
        <v>853</v>
      </c>
      <c r="N61" s="5" t="s">
        <v>839</v>
      </c>
      <c r="O61" s="5" t="s">
        <v>840</v>
      </c>
      <c r="P61" s="5" t="s">
        <v>841</v>
      </c>
      <c r="Q61" s="5" t="s">
        <v>372</v>
      </c>
      <c r="R61" s="5" t="s">
        <v>1294</v>
      </c>
      <c r="S61" s="7" t="s">
        <v>1295</v>
      </c>
    </row>
    <row r="62" spans="1:19" ht="44" customHeight="1">
      <c r="A62" s="5" t="s">
        <v>12</v>
      </c>
      <c r="B62" s="5" t="s">
        <v>1296</v>
      </c>
      <c r="C62" s="5" t="s">
        <v>1297</v>
      </c>
      <c r="D62" s="6">
        <v>40000000</v>
      </c>
      <c r="E62" s="8">
        <v>45985.554861111108</v>
      </c>
      <c r="F62" s="16">
        <v>46000.554861111108</v>
      </c>
      <c r="G62" s="5" t="s">
        <v>27</v>
      </c>
      <c r="H62" s="5" t="s">
        <v>113</v>
      </c>
      <c r="I62" s="17" t="s">
        <v>851</v>
      </c>
      <c r="J62" s="5" t="s">
        <v>852</v>
      </c>
      <c r="K62" s="5" t="s">
        <v>113</v>
      </c>
      <c r="L62" s="5" t="s">
        <v>113</v>
      </c>
      <c r="M62" s="5" t="s">
        <v>853</v>
      </c>
      <c r="N62" s="5" t="s">
        <v>839</v>
      </c>
      <c r="O62" s="5" t="s">
        <v>840</v>
      </c>
      <c r="P62" s="5" t="s">
        <v>841</v>
      </c>
      <c r="Q62" s="5" t="s">
        <v>372</v>
      </c>
      <c r="R62" s="5" t="s">
        <v>843</v>
      </c>
      <c r="S62" s="7" t="s">
        <v>1298</v>
      </c>
    </row>
    <row r="63" spans="1:19" ht="44" customHeight="1">
      <c r="A63" s="5" t="s">
        <v>12</v>
      </c>
      <c r="B63" s="5" t="s">
        <v>1299</v>
      </c>
      <c r="C63" s="5" t="s">
        <v>1300</v>
      </c>
      <c r="D63" s="6">
        <v>43000000</v>
      </c>
      <c r="E63" s="8">
        <v>45986.743750000001</v>
      </c>
      <c r="F63" s="16">
        <v>45999.5</v>
      </c>
      <c r="G63" s="5" t="s">
        <v>27</v>
      </c>
      <c r="H63" s="5" t="s">
        <v>113</v>
      </c>
      <c r="I63" s="5" t="s">
        <v>837</v>
      </c>
      <c r="J63" s="5" t="s">
        <v>838</v>
      </c>
      <c r="K63" s="5" t="s">
        <v>113</v>
      </c>
      <c r="L63" s="5" t="s">
        <v>113</v>
      </c>
      <c r="M63" s="5" t="s">
        <v>99</v>
      </c>
      <c r="N63" s="5" t="s">
        <v>839</v>
      </c>
      <c r="O63" s="5" t="s">
        <v>840</v>
      </c>
      <c r="P63" s="5" t="s">
        <v>841</v>
      </c>
      <c r="Q63" s="5" t="s">
        <v>372</v>
      </c>
      <c r="R63" s="5" t="s">
        <v>843</v>
      </c>
      <c r="S63" s="7" t="s">
        <v>1301</v>
      </c>
    </row>
    <row r="64" spans="1:19" ht="44" customHeight="1">
      <c r="A64" s="5" t="s">
        <v>12</v>
      </c>
      <c r="B64" s="5" t="s">
        <v>1302</v>
      </c>
      <c r="C64" s="5" t="s">
        <v>1303</v>
      </c>
      <c r="D64" s="6">
        <v>89522000</v>
      </c>
      <c r="E64" s="8">
        <v>45987.740277777782</v>
      </c>
      <c r="F64" s="16">
        <v>46002.740277777782</v>
      </c>
      <c r="G64" s="5" t="s">
        <v>27</v>
      </c>
      <c r="H64" s="5" t="s">
        <v>113</v>
      </c>
      <c r="I64" s="5" t="s">
        <v>847</v>
      </c>
      <c r="J64" s="5" t="s">
        <v>848</v>
      </c>
      <c r="K64" s="5" t="s">
        <v>1304</v>
      </c>
      <c r="L64" s="5" t="s">
        <v>113</v>
      </c>
      <c r="M64" s="5" t="s">
        <v>853</v>
      </c>
      <c r="N64" s="5" t="s">
        <v>839</v>
      </c>
      <c r="O64" s="5" t="s">
        <v>840</v>
      </c>
      <c r="P64" s="5" t="s">
        <v>841</v>
      </c>
      <c r="Q64" s="5" t="s">
        <v>858</v>
      </c>
      <c r="R64" s="5" t="s">
        <v>843</v>
      </c>
      <c r="S64" s="7" t="s">
        <v>1305</v>
      </c>
    </row>
    <row r="65" spans="1:19" ht="44" customHeight="1">
      <c r="A65" s="5" t="s">
        <v>12</v>
      </c>
      <c r="B65" s="5" t="s">
        <v>1306</v>
      </c>
      <c r="C65" s="5" t="s">
        <v>899</v>
      </c>
      <c r="D65" s="6">
        <v>29400000</v>
      </c>
      <c r="E65" s="8">
        <v>45994.522916666669</v>
      </c>
      <c r="F65" s="16">
        <v>46008.458333333343</v>
      </c>
      <c r="G65" s="5" t="s">
        <v>27</v>
      </c>
      <c r="H65" s="5" t="s">
        <v>113</v>
      </c>
      <c r="I65" s="17" t="s">
        <v>851</v>
      </c>
      <c r="J65" s="5" t="s">
        <v>852</v>
      </c>
      <c r="K65" s="5" t="s">
        <v>113</v>
      </c>
      <c r="L65" s="5" t="s">
        <v>113</v>
      </c>
      <c r="M65" s="5" t="s">
        <v>853</v>
      </c>
      <c r="N65" s="5" t="s">
        <v>839</v>
      </c>
      <c r="O65" s="5" t="s">
        <v>840</v>
      </c>
      <c r="P65" s="5" t="s">
        <v>841</v>
      </c>
      <c r="Q65" s="5" t="s">
        <v>372</v>
      </c>
      <c r="R65" s="5" t="s">
        <v>843</v>
      </c>
      <c r="S65" s="7" t="s">
        <v>1307</v>
      </c>
    </row>
    <row r="66" spans="1:19" ht="44" customHeight="1">
      <c r="A66" s="5" t="s">
        <v>12</v>
      </c>
      <c r="B66" s="5" t="s">
        <v>751</v>
      </c>
      <c r="C66" s="5" t="s">
        <v>752</v>
      </c>
      <c r="D66" s="6">
        <v>36950000</v>
      </c>
      <c r="E66" s="8">
        <v>45999.415972222218</v>
      </c>
      <c r="F66" s="16">
        <v>45999.5</v>
      </c>
      <c r="G66" s="5" t="s">
        <v>27</v>
      </c>
      <c r="H66" s="5" t="s">
        <v>747</v>
      </c>
      <c r="I66" s="5" t="s">
        <v>847</v>
      </c>
      <c r="J66" s="5" t="s">
        <v>848</v>
      </c>
      <c r="K66" s="5" t="s">
        <v>113</v>
      </c>
      <c r="L66" s="5" t="s">
        <v>1308</v>
      </c>
      <c r="M66" s="5" t="s">
        <v>853</v>
      </c>
      <c r="N66" s="5" t="s">
        <v>839</v>
      </c>
      <c r="O66" s="5" t="s">
        <v>840</v>
      </c>
      <c r="P66" s="5" t="s">
        <v>841</v>
      </c>
      <c r="Q66" s="5" t="s">
        <v>719</v>
      </c>
      <c r="R66" s="5" t="s">
        <v>1309</v>
      </c>
      <c r="S66" s="7" t="s">
        <v>753</v>
      </c>
    </row>
    <row r="67" spans="1:19" ht="44" customHeight="1">
      <c r="A67" s="5" t="s">
        <v>12</v>
      </c>
      <c r="B67" s="5" t="s">
        <v>1299</v>
      </c>
      <c r="C67" s="5" t="s">
        <v>1300</v>
      </c>
      <c r="D67" s="6">
        <v>43000000</v>
      </c>
      <c r="E67" s="8">
        <v>45999.680555555547</v>
      </c>
      <c r="F67" s="16">
        <v>46013.5</v>
      </c>
      <c r="G67" s="5" t="s">
        <v>27</v>
      </c>
      <c r="H67" s="5" t="s">
        <v>113</v>
      </c>
      <c r="I67" s="5" t="s">
        <v>837</v>
      </c>
      <c r="J67" s="5" t="s">
        <v>838</v>
      </c>
      <c r="K67" s="5" t="s">
        <v>113</v>
      </c>
      <c r="L67" s="5" t="s">
        <v>113</v>
      </c>
      <c r="M67" s="5" t="s">
        <v>99</v>
      </c>
      <c r="N67" s="5" t="s">
        <v>839</v>
      </c>
      <c r="O67" s="5" t="s">
        <v>840</v>
      </c>
      <c r="P67" s="5" t="s">
        <v>841</v>
      </c>
      <c r="Q67" s="5" t="s">
        <v>372</v>
      </c>
      <c r="R67" s="5" t="s">
        <v>843</v>
      </c>
      <c r="S67" s="7" t="s">
        <v>1310</v>
      </c>
    </row>
    <row r="68" spans="1:19" ht="44" customHeight="1">
      <c r="A68" s="5" t="s">
        <v>12</v>
      </c>
      <c r="B68" s="5" t="s">
        <v>1311</v>
      </c>
      <c r="C68" s="5" t="s">
        <v>899</v>
      </c>
      <c r="D68" s="6">
        <v>29400000</v>
      </c>
      <c r="E68" s="8">
        <v>46009.425000000003</v>
      </c>
      <c r="F68" s="16">
        <v>46009.479166666657</v>
      </c>
      <c r="G68" s="5" t="s">
        <v>27</v>
      </c>
      <c r="H68" s="5" t="s">
        <v>1312</v>
      </c>
      <c r="I68" s="17" t="s">
        <v>851</v>
      </c>
      <c r="J68" s="5" t="s">
        <v>852</v>
      </c>
      <c r="K68" s="5" t="s">
        <v>113</v>
      </c>
      <c r="L68" s="5" t="s">
        <v>113</v>
      </c>
      <c r="M68" s="5" t="s">
        <v>113</v>
      </c>
      <c r="N68" s="5" t="s">
        <v>839</v>
      </c>
      <c r="O68" s="5" t="s">
        <v>113</v>
      </c>
      <c r="P68" s="5" t="s">
        <v>841</v>
      </c>
      <c r="Q68" s="5" t="s">
        <v>719</v>
      </c>
      <c r="R68" s="5" t="s">
        <v>874</v>
      </c>
      <c r="S68" s="7" t="s">
        <v>1313</v>
      </c>
    </row>
    <row r="69" spans="1:19" ht="44" customHeight="1">
      <c r="A69" s="5" t="s">
        <v>12</v>
      </c>
      <c r="B69" s="5" t="s">
        <v>1314</v>
      </c>
      <c r="C69" s="5" t="s">
        <v>1315</v>
      </c>
      <c r="D69" s="6">
        <v>81000000</v>
      </c>
      <c r="E69" s="8">
        <v>46017.652777777781</v>
      </c>
      <c r="F69" s="16">
        <v>46031.416666666657</v>
      </c>
      <c r="G69" s="5" t="s">
        <v>27</v>
      </c>
      <c r="H69" s="5" t="s">
        <v>1316</v>
      </c>
      <c r="I69" s="5" t="s">
        <v>847</v>
      </c>
      <c r="J69" s="5" t="s">
        <v>848</v>
      </c>
      <c r="K69" s="5" t="s">
        <v>946</v>
      </c>
      <c r="L69" s="5" t="s">
        <v>113</v>
      </c>
      <c r="M69" s="5" t="s">
        <v>99</v>
      </c>
      <c r="N69" s="5" t="s">
        <v>839</v>
      </c>
      <c r="O69" s="5" t="s">
        <v>840</v>
      </c>
      <c r="P69" s="5" t="s">
        <v>841</v>
      </c>
      <c r="Q69" s="5" t="s">
        <v>372</v>
      </c>
      <c r="R69" s="5" t="s">
        <v>1317</v>
      </c>
      <c r="S69" s="7" t="s">
        <v>1318</v>
      </c>
    </row>
    <row r="71" spans="1:19" ht="24" customHeight="1">
      <c r="A71" s="23" t="s">
        <v>1319</v>
      </c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</row>
    <row r="72" spans="1:19" ht="36" customHeight="1">
      <c r="A72" s="4" t="s">
        <v>6</v>
      </c>
      <c r="B72" s="4" t="s">
        <v>17</v>
      </c>
      <c r="C72" s="4" t="s">
        <v>18</v>
      </c>
      <c r="D72" s="4" t="s">
        <v>19</v>
      </c>
      <c r="E72" s="4" t="s">
        <v>21</v>
      </c>
      <c r="F72" s="4" t="s">
        <v>27</v>
      </c>
      <c r="G72" s="4" t="s">
        <v>22</v>
      </c>
      <c r="H72" s="4" t="s">
        <v>824</v>
      </c>
      <c r="I72" s="4" t="s">
        <v>825</v>
      </c>
      <c r="J72" s="4" t="s">
        <v>826</v>
      </c>
      <c r="K72" s="4" t="s">
        <v>827</v>
      </c>
      <c r="L72" s="4" t="s">
        <v>828</v>
      </c>
      <c r="M72" s="4" t="s">
        <v>829</v>
      </c>
      <c r="N72" s="4" t="s">
        <v>830</v>
      </c>
      <c r="O72" s="4" t="s">
        <v>831</v>
      </c>
      <c r="P72" s="4" t="s">
        <v>832</v>
      </c>
      <c r="Q72" s="4" t="s">
        <v>358</v>
      </c>
      <c r="R72" s="4" t="s">
        <v>833</v>
      </c>
      <c r="S72" s="4" t="s">
        <v>834</v>
      </c>
    </row>
    <row r="73" spans="1:19" ht="44" customHeight="1">
      <c r="A73" s="5" t="s">
        <v>13</v>
      </c>
      <c r="B73" s="5" t="s">
        <v>562</v>
      </c>
      <c r="C73" s="5" t="s">
        <v>563</v>
      </c>
      <c r="D73" s="6">
        <v>155000000</v>
      </c>
      <c r="E73" s="8">
        <v>45677.828472222223</v>
      </c>
      <c r="F73" s="16">
        <v>45694.708333333343</v>
      </c>
      <c r="G73" s="5" t="s">
        <v>27</v>
      </c>
      <c r="H73" s="5" t="s">
        <v>632</v>
      </c>
      <c r="I73" s="5" t="s">
        <v>847</v>
      </c>
      <c r="J73" s="5" t="s">
        <v>848</v>
      </c>
      <c r="K73" s="5" t="s">
        <v>113</v>
      </c>
      <c r="L73" s="5" t="s">
        <v>872</v>
      </c>
      <c r="M73" s="5" t="s">
        <v>853</v>
      </c>
      <c r="N73" s="5" t="s">
        <v>839</v>
      </c>
      <c r="O73" s="5" t="s">
        <v>840</v>
      </c>
      <c r="P73" s="5" t="s">
        <v>841</v>
      </c>
      <c r="Q73" s="5" t="s">
        <v>422</v>
      </c>
      <c r="R73" s="5" t="s">
        <v>843</v>
      </c>
      <c r="S73" s="7" t="s">
        <v>564</v>
      </c>
    </row>
    <row r="74" spans="1:19" ht="44" customHeight="1">
      <c r="A74" s="5" t="s">
        <v>13</v>
      </c>
      <c r="B74" s="5" t="s">
        <v>1320</v>
      </c>
      <c r="C74" s="5" t="s">
        <v>965</v>
      </c>
      <c r="D74" s="6">
        <v>45000000</v>
      </c>
      <c r="E74" s="8">
        <v>45695.472222222219</v>
      </c>
      <c r="F74" s="16">
        <v>45707.75</v>
      </c>
      <c r="G74" s="5" t="s">
        <v>27</v>
      </c>
      <c r="H74" s="5" t="s">
        <v>113</v>
      </c>
      <c r="I74" s="5" t="s">
        <v>837</v>
      </c>
      <c r="J74" s="5" t="s">
        <v>838</v>
      </c>
      <c r="K74" s="5" t="s">
        <v>113</v>
      </c>
      <c r="L74" s="5" t="s">
        <v>113</v>
      </c>
      <c r="M74" s="5" t="s">
        <v>99</v>
      </c>
      <c r="N74" s="5" t="s">
        <v>839</v>
      </c>
      <c r="O74" s="5" t="s">
        <v>841</v>
      </c>
      <c r="P74" s="5" t="s">
        <v>841</v>
      </c>
      <c r="Q74" s="5" t="s">
        <v>422</v>
      </c>
      <c r="R74" s="5" t="s">
        <v>843</v>
      </c>
      <c r="S74" s="7" t="s">
        <v>1321</v>
      </c>
    </row>
    <row r="75" spans="1:19" ht="44" customHeight="1">
      <c r="A75" s="5" t="s">
        <v>13</v>
      </c>
      <c r="B75" s="5" t="s">
        <v>703</v>
      </c>
      <c r="C75" s="5" t="s">
        <v>368</v>
      </c>
      <c r="D75" s="6">
        <v>123000000</v>
      </c>
      <c r="E75" s="8">
        <v>45716.71597222222</v>
      </c>
      <c r="F75" s="16">
        <v>45727.708333333343</v>
      </c>
      <c r="G75" s="5" t="s">
        <v>27</v>
      </c>
      <c r="H75" s="5" t="s">
        <v>814</v>
      </c>
      <c r="I75" s="5" t="s">
        <v>847</v>
      </c>
      <c r="J75" s="5" t="s">
        <v>848</v>
      </c>
      <c r="K75" s="5" t="s">
        <v>113</v>
      </c>
      <c r="L75" s="5" t="s">
        <v>872</v>
      </c>
      <c r="M75" s="5" t="s">
        <v>853</v>
      </c>
      <c r="N75" s="5" t="s">
        <v>839</v>
      </c>
      <c r="O75" s="5" t="s">
        <v>840</v>
      </c>
      <c r="P75" s="5" t="s">
        <v>841</v>
      </c>
      <c r="Q75" s="5" t="s">
        <v>372</v>
      </c>
      <c r="R75" s="5" t="s">
        <v>1322</v>
      </c>
      <c r="S75" s="7" t="s">
        <v>704</v>
      </c>
    </row>
    <row r="76" spans="1:19" ht="44" customHeight="1">
      <c r="A76" s="5" t="s">
        <v>13</v>
      </c>
      <c r="B76" s="5" t="s">
        <v>417</v>
      </c>
      <c r="C76" s="5" t="s">
        <v>418</v>
      </c>
      <c r="D76" s="6">
        <v>20000000</v>
      </c>
      <c r="E76" s="8">
        <v>45722.736805555563</v>
      </c>
      <c r="F76" s="16">
        <v>45735.583333333343</v>
      </c>
      <c r="G76" s="5" t="s">
        <v>27</v>
      </c>
      <c r="H76" s="5" t="s">
        <v>64</v>
      </c>
      <c r="I76" s="17" t="s">
        <v>851</v>
      </c>
      <c r="J76" s="5" t="s">
        <v>852</v>
      </c>
      <c r="K76" s="5" t="s">
        <v>113</v>
      </c>
      <c r="L76" s="5" t="s">
        <v>113</v>
      </c>
      <c r="M76" s="5" t="s">
        <v>853</v>
      </c>
      <c r="N76" s="5" t="s">
        <v>839</v>
      </c>
      <c r="O76" s="5" t="s">
        <v>840</v>
      </c>
      <c r="P76" s="5" t="s">
        <v>841</v>
      </c>
      <c r="Q76" s="5" t="s">
        <v>372</v>
      </c>
      <c r="R76" s="5" t="s">
        <v>843</v>
      </c>
      <c r="S76" s="7" t="s">
        <v>419</v>
      </c>
    </row>
    <row r="77" spans="1:19" ht="44" customHeight="1">
      <c r="A77" s="5" t="s">
        <v>13</v>
      </c>
      <c r="B77" s="5" t="s">
        <v>1323</v>
      </c>
      <c r="C77" s="5" t="s">
        <v>642</v>
      </c>
      <c r="D77" s="6">
        <v>390000000</v>
      </c>
      <c r="E77" s="8">
        <v>45733.444444444453</v>
      </c>
      <c r="F77" s="16">
        <v>45744.416666666657</v>
      </c>
      <c r="G77" s="5" t="s">
        <v>27</v>
      </c>
      <c r="H77" s="5" t="s">
        <v>969</v>
      </c>
      <c r="I77" s="5" t="s">
        <v>847</v>
      </c>
      <c r="J77" s="5" t="s">
        <v>848</v>
      </c>
      <c r="K77" s="5" t="s">
        <v>942</v>
      </c>
      <c r="L77" s="5" t="s">
        <v>872</v>
      </c>
      <c r="M77" s="5" t="s">
        <v>853</v>
      </c>
      <c r="N77" s="5" t="s">
        <v>839</v>
      </c>
      <c r="O77" s="5" t="s">
        <v>840</v>
      </c>
      <c r="P77" s="5" t="s">
        <v>841</v>
      </c>
      <c r="Q77" s="5" t="s">
        <v>372</v>
      </c>
      <c r="R77" s="5" t="s">
        <v>1324</v>
      </c>
      <c r="S77" s="7" t="s">
        <v>1325</v>
      </c>
    </row>
    <row r="78" spans="1:19" ht="44" customHeight="1">
      <c r="A78" s="5" t="s">
        <v>13</v>
      </c>
      <c r="B78" s="5" t="s">
        <v>1326</v>
      </c>
      <c r="C78" s="5" t="s">
        <v>361</v>
      </c>
      <c r="D78" s="6">
        <v>483483040</v>
      </c>
      <c r="E78" s="8">
        <v>45735.53125</v>
      </c>
      <c r="F78" s="16">
        <v>45756.416666666657</v>
      </c>
      <c r="G78" s="5" t="s">
        <v>27</v>
      </c>
      <c r="H78" s="5" t="s">
        <v>1327</v>
      </c>
      <c r="I78" s="5" t="s">
        <v>847</v>
      </c>
      <c r="J78" s="5" t="s">
        <v>848</v>
      </c>
      <c r="K78" s="5" t="s">
        <v>868</v>
      </c>
      <c r="L78" s="5" t="s">
        <v>113</v>
      </c>
      <c r="M78" s="5" t="s">
        <v>853</v>
      </c>
      <c r="N78" s="5" t="s">
        <v>893</v>
      </c>
      <c r="O78" s="5" t="s">
        <v>841</v>
      </c>
      <c r="P78" s="5" t="s">
        <v>841</v>
      </c>
      <c r="Q78" s="5" t="s">
        <v>372</v>
      </c>
      <c r="R78" s="5" t="s">
        <v>843</v>
      </c>
      <c r="S78" s="7" t="s">
        <v>1328</v>
      </c>
    </row>
    <row r="79" spans="1:19" ht="44" customHeight="1">
      <c r="A79" s="5" t="s">
        <v>13</v>
      </c>
      <c r="B79" s="5" t="s">
        <v>669</v>
      </c>
      <c r="C79" s="5" t="s">
        <v>48</v>
      </c>
      <c r="D79" s="6">
        <v>60000000</v>
      </c>
      <c r="E79" s="8">
        <v>45740.902777777781</v>
      </c>
      <c r="F79" s="16">
        <v>45751.458333333343</v>
      </c>
      <c r="G79" s="5" t="s">
        <v>27</v>
      </c>
      <c r="H79" s="5" t="s">
        <v>1235</v>
      </c>
      <c r="I79" s="5" t="s">
        <v>847</v>
      </c>
      <c r="J79" s="5" t="s">
        <v>848</v>
      </c>
      <c r="K79" s="5" t="s">
        <v>868</v>
      </c>
      <c r="L79" s="5" t="s">
        <v>113</v>
      </c>
      <c r="M79" s="5" t="s">
        <v>853</v>
      </c>
      <c r="N79" s="5" t="s">
        <v>839</v>
      </c>
      <c r="O79" s="5" t="s">
        <v>840</v>
      </c>
      <c r="P79" s="5" t="s">
        <v>841</v>
      </c>
      <c r="Q79" s="5" t="s">
        <v>372</v>
      </c>
      <c r="R79" s="5" t="s">
        <v>843</v>
      </c>
      <c r="S79" s="7" t="s">
        <v>670</v>
      </c>
    </row>
    <row r="80" spans="1:19" ht="44" customHeight="1">
      <c r="A80" s="5" t="s">
        <v>13</v>
      </c>
      <c r="B80" s="5" t="s">
        <v>1329</v>
      </c>
      <c r="C80" s="5" t="s">
        <v>965</v>
      </c>
      <c r="D80" s="6">
        <v>45000000</v>
      </c>
      <c r="E80" s="8">
        <v>45754.489583333343</v>
      </c>
      <c r="F80" s="16">
        <v>45765.75</v>
      </c>
      <c r="G80" s="5" t="s">
        <v>27</v>
      </c>
      <c r="H80" s="5" t="s">
        <v>113</v>
      </c>
      <c r="I80" s="5" t="s">
        <v>837</v>
      </c>
      <c r="J80" s="5" t="s">
        <v>838</v>
      </c>
      <c r="K80" s="5" t="s">
        <v>113</v>
      </c>
      <c r="L80" s="5" t="s">
        <v>113</v>
      </c>
      <c r="M80" s="5" t="s">
        <v>99</v>
      </c>
      <c r="N80" s="5" t="s">
        <v>839</v>
      </c>
      <c r="O80" s="5" t="s">
        <v>841</v>
      </c>
      <c r="P80" s="5" t="s">
        <v>841</v>
      </c>
      <c r="Q80" s="5" t="s">
        <v>372</v>
      </c>
      <c r="R80" s="5" t="s">
        <v>843</v>
      </c>
      <c r="S80" s="7" t="s">
        <v>1330</v>
      </c>
    </row>
    <row r="81" spans="1:19" ht="44" customHeight="1">
      <c r="A81" s="5" t="s">
        <v>13</v>
      </c>
      <c r="B81" s="5" t="s">
        <v>1331</v>
      </c>
      <c r="C81" s="5" t="s">
        <v>409</v>
      </c>
      <c r="D81" s="6">
        <v>28442000</v>
      </c>
      <c r="E81" s="8">
        <v>45769.397916666669</v>
      </c>
      <c r="F81" s="16">
        <v>45785.666666666657</v>
      </c>
      <c r="G81" s="5" t="s">
        <v>27</v>
      </c>
      <c r="H81" s="5" t="s">
        <v>999</v>
      </c>
      <c r="I81" s="5" t="s">
        <v>847</v>
      </c>
      <c r="J81" s="5" t="s">
        <v>848</v>
      </c>
      <c r="K81" s="5" t="s">
        <v>942</v>
      </c>
      <c r="L81" s="5" t="s">
        <v>872</v>
      </c>
      <c r="M81" s="5" t="s">
        <v>113</v>
      </c>
      <c r="N81" s="5" t="s">
        <v>839</v>
      </c>
      <c r="O81" s="5" t="s">
        <v>113</v>
      </c>
      <c r="P81" s="5" t="s">
        <v>953</v>
      </c>
      <c r="Q81" s="5" t="s">
        <v>372</v>
      </c>
      <c r="R81" s="5" t="s">
        <v>874</v>
      </c>
      <c r="S81" s="7" t="s">
        <v>1332</v>
      </c>
    </row>
    <row r="82" spans="1:19" ht="44" customHeight="1">
      <c r="A82" s="5" t="s">
        <v>13</v>
      </c>
      <c r="B82" s="5" t="s">
        <v>1333</v>
      </c>
      <c r="C82" s="5" t="s">
        <v>726</v>
      </c>
      <c r="D82" s="6">
        <v>99900183</v>
      </c>
      <c r="E82" s="8">
        <v>45779.646527777782</v>
      </c>
      <c r="F82" s="16">
        <v>45792.416666666657</v>
      </c>
      <c r="G82" s="5" t="s">
        <v>27</v>
      </c>
      <c r="H82" s="5" t="s">
        <v>1334</v>
      </c>
      <c r="I82" s="5" t="s">
        <v>847</v>
      </c>
      <c r="J82" s="5" t="s">
        <v>848</v>
      </c>
      <c r="K82" s="5" t="s">
        <v>942</v>
      </c>
      <c r="L82" s="5" t="s">
        <v>872</v>
      </c>
      <c r="M82" s="5" t="s">
        <v>113</v>
      </c>
      <c r="N82" s="5" t="s">
        <v>893</v>
      </c>
      <c r="O82" s="5" t="s">
        <v>840</v>
      </c>
      <c r="P82" s="5" t="s">
        <v>841</v>
      </c>
      <c r="Q82" s="5" t="s">
        <v>372</v>
      </c>
      <c r="R82" s="5" t="s">
        <v>1335</v>
      </c>
      <c r="S82" s="7" t="s">
        <v>1336</v>
      </c>
    </row>
    <row r="83" spans="1:19" ht="44" customHeight="1">
      <c r="A83" s="5" t="s">
        <v>13</v>
      </c>
      <c r="B83" s="5" t="s">
        <v>1337</v>
      </c>
      <c r="C83" s="5" t="s">
        <v>892</v>
      </c>
      <c r="D83" s="6">
        <v>439874000</v>
      </c>
      <c r="E83" s="8">
        <v>45779.677083333343</v>
      </c>
      <c r="F83" s="16" t="s">
        <v>113</v>
      </c>
      <c r="G83" s="5" t="s">
        <v>27</v>
      </c>
      <c r="H83" s="5" t="s">
        <v>113</v>
      </c>
      <c r="I83" s="17" t="s">
        <v>851</v>
      </c>
      <c r="J83" s="5" t="s">
        <v>852</v>
      </c>
      <c r="K83" s="5" t="s">
        <v>113</v>
      </c>
      <c r="L83" s="5" t="s">
        <v>113</v>
      </c>
      <c r="M83" s="5" t="s">
        <v>113</v>
      </c>
      <c r="N83" s="5" t="s">
        <v>893</v>
      </c>
      <c r="O83" s="5" t="s">
        <v>113</v>
      </c>
      <c r="P83" s="5" t="s">
        <v>841</v>
      </c>
      <c r="Q83" s="5" t="s">
        <v>372</v>
      </c>
      <c r="R83" s="5" t="s">
        <v>874</v>
      </c>
      <c r="S83" s="7" t="s">
        <v>1338</v>
      </c>
    </row>
    <row r="84" spans="1:19" ht="44" customHeight="1">
      <c r="A84" s="5" t="s">
        <v>13</v>
      </c>
      <c r="B84" s="5" t="s">
        <v>1339</v>
      </c>
      <c r="C84" s="5" t="s">
        <v>1340</v>
      </c>
      <c r="D84" s="6">
        <v>88230000</v>
      </c>
      <c r="E84" s="8">
        <v>45793.456250000003</v>
      </c>
      <c r="F84" s="16">
        <v>45803.5</v>
      </c>
      <c r="G84" s="5" t="s">
        <v>27</v>
      </c>
      <c r="H84" s="5" t="s">
        <v>1341</v>
      </c>
      <c r="I84" s="17" t="s">
        <v>851</v>
      </c>
      <c r="J84" s="5" t="s">
        <v>852</v>
      </c>
      <c r="K84" s="5" t="s">
        <v>113</v>
      </c>
      <c r="L84" s="5" t="s">
        <v>113</v>
      </c>
      <c r="M84" s="5" t="s">
        <v>853</v>
      </c>
      <c r="N84" s="5" t="s">
        <v>839</v>
      </c>
      <c r="O84" s="5" t="s">
        <v>840</v>
      </c>
      <c r="P84" s="5" t="s">
        <v>841</v>
      </c>
      <c r="Q84" s="5" t="s">
        <v>381</v>
      </c>
      <c r="R84" s="5" t="s">
        <v>843</v>
      </c>
      <c r="S84" s="7" t="s">
        <v>1342</v>
      </c>
    </row>
    <row r="85" spans="1:19" ht="44" customHeight="1">
      <c r="A85" s="5" t="s">
        <v>13</v>
      </c>
      <c r="B85" s="5" t="s">
        <v>1343</v>
      </c>
      <c r="C85" s="5" t="s">
        <v>1344</v>
      </c>
      <c r="D85" s="6">
        <v>55000000</v>
      </c>
      <c r="E85" s="8">
        <v>45806.395138888889</v>
      </c>
      <c r="F85" s="16">
        <v>45807.625</v>
      </c>
      <c r="G85" s="5" t="s">
        <v>27</v>
      </c>
      <c r="H85" s="5" t="s">
        <v>1345</v>
      </c>
      <c r="I85" s="17" t="s">
        <v>851</v>
      </c>
      <c r="J85" s="5" t="s">
        <v>852</v>
      </c>
      <c r="K85" s="5" t="s">
        <v>113</v>
      </c>
      <c r="L85" s="5" t="s">
        <v>113</v>
      </c>
      <c r="M85" s="5" t="s">
        <v>113</v>
      </c>
      <c r="N85" s="5" t="s">
        <v>839</v>
      </c>
      <c r="O85" s="5" t="s">
        <v>113</v>
      </c>
      <c r="P85" s="5" t="s">
        <v>841</v>
      </c>
      <c r="Q85" s="5" t="s">
        <v>719</v>
      </c>
      <c r="R85" s="5" t="s">
        <v>874</v>
      </c>
      <c r="S85" s="7" t="s">
        <v>1346</v>
      </c>
    </row>
    <row r="86" spans="1:19" ht="44" customHeight="1">
      <c r="A86" s="5" t="s">
        <v>13</v>
      </c>
      <c r="B86" s="5" t="s">
        <v>1347</v>
      </c>
      <c r="C86" s="5" t="s">
        <v>1010</v>
      </c>
      <c r="D86" s="6">
        <v>85000000</v>
      </c>
      <c r="E86" s="8">
        <v>45806.661111111112</v>
      </c>
      <c r="F86" s="16">
        <v>45817.416666666657</v>
      </c>
      <c r="G86" s="5" t="s">
        <v>27</v>
      </c>
      <c r="H86" s="5" t="s">
        <v>1348</v>
      </c>
      <c r="I86" s="5" t="s">
        <v>847</v>
      </c>
      <c r="J86" s="5" t="s">
        <v>848</v>
      </c>
      <c r="K86" s="5" t="s">
        <v>942</v>
      </c>
      <c r="L86" s="5" t="s">
        <v>872</v>
      </c>
      <c r="M86" s="5" t="s">
        <v>853</v>
      </c>
      <c r="N86" s="5" t="s">
        <v>839</v>
      </c>
      <c r="O86" s="5" t="s">
        <v>840</v>
      </c>
      <c r="P86" s="5" t="s">
        <v>841</v>
      </c>
      <c r="Q86" s="5" t="s">
        <v>578</v>
      </c>
      <c r="R86" s="5" t="s">
        <v>843</v>
      </c>
      <c r="S86" s="7" t="s">
        <v>1349</v>
      </c>
    </row>
    <row r="87" spans="1:19" ht="44" customHeight="1">
      <c r="A87" s="5" t="s">
        <v>13</v>
      </c>
      <c r="B87" s="5" t="s">
        <v>1350</v>
      </c>
      <c r="C87" s="5" t="s">
        <v>361</v>
      </c>
      <c r="D87" s="6">
        <v>191578600</v>
      </c>
      <c r="E87" s="8">
        <v>45813.588194444441</v>
      </c>
      <c r="F87" s="16">
        <v>45834.416666666657</v>
      </c>
      <c r="G87" s="5" t="s">
        <v>27</v>
      </c>
      <c r="H87" s="5" t="s">
        <v>1351</v>
      </c>
      <c r="I87" s="5" t="s">
        <v>847</v>
      </c>
      <c r="J87" s="5" t="s">
        <v>848</v>
      </c>
      <c r="K87" s="5" t="s">
        <v>942</v>
      </c>
      <c r="L87" s="5" t="s">
        <v>872</v>
      </c>
      <c r="M87" s="5" t="s">
        <v>853</v>
      </c>
      <c r="N87" s="5" t="s">
        <v>893</v>
      </c>
      <c r="O87" s="5" t="s">
        <v>840</v>
      </c>
      <c r="P87" s="5" t="s">
        <v>841</v>
      </c>
      <c r="Q87" s="5" t="s">
        <v>372</v>
      </c>
      <c r="R87" s="5" t="s">
        <v>843</v>
      </c>
      <c r="S87" s="7" t="s">
        <v>1352</v>
      </c>
    </row>
    <row r="88" spans="1:19" ht="44" customHeight="1">
      <c r="A88" s="5" t="s">
        <v>13</v>
      </c>
      <c r="B88" s="5" t="s">
        <v>501</v>
      </c>
      <c r="C88" s="5" t="s">
        <v>361</v>
      </c>
      <c r="D88" s="6">
        <v>111031400</v>
      </c>
      <c r="E88" s="8">
        <v>45813.683333333327</v>
      </c>
      <c r="F88" s="16">
        <v>45825.416666666657</v>
      </c>
      <c r="G88" s="5" t="s">
        <v>27</v>
      </c>
      <c r="H88" s="5" t="s">
        <v>68</v>
      </c>
      <c r="I88" s="5" t="s">
        <v>847</v>
      </c>
      <c r="J88" s="5" t="s">
        <v>848</v>
      </c>
      <c r="K88" s="5" t="s">
        <v>868</v>
      </c>
      <c r="L88" s="5" t="s">
        <v>1015</v>
      </c>
      <c r="M88" s="5" t="s">
        <v>853</v>
      </c>
      <c r="N88" s="5" t="s">
        <v>893</v>
      </c>
      <c r="O88" s="5" t="s">
        <v>840</v>
      </c>
      <c r="P88" s="5" t="s">
        <v>841</v>
      </c>
      <c r="Q88" s="5" t="s">
        <v>372</v>
      </c>
      <c r="R88" s="5" t="s">
        <v>843</v>
      </c>
      <c r="S88" s="7" t="s">
        <v>502</v>
      </c>
    </row>
    <row r="89" spans="1:19" ht="44" customHeight="1">
      <c r="A89" s="5" t="s">
        <v>13</v>
      </c>
      <c r="B89" s="5" t="s">
        <v>1353</v>
      </c>
      <c r="C89" s="5" t="s">
        <v>614</v>
      </c>
      <c r="D89" s="6">
        <v>49000000</v>
      </c>
      <c r="E89" s="8">
        <v>45813.788194444453</v>
      </c>
      <c r="F89" s="16">
        <v>45824.416666666657</v>
      </c>
      <c r="G89" s="5" t="s">
        <v>27</v>
      </c>
      <c r="H89" s="5" t="s">
        <v>113</v>
      </c>
      <c r="I89" s="17" t="s">
        <v>851</v>
      </c>
      <c r="J89" s="5" t="s">
        <v>852</v>
      </c>
      <c r="K89" s="5" t="s">
        <v>113</v>
      </c>
      <c r="L89" s="5" t="s">
        <v>113</v>
      </c>
      <c r="M89" s="5" t="s">
        <v>113</v>
      </c>
      <c r="N89" s="5" t="s">
        <v>893</v>
      </c>
      <c r="O89" s="5" t="s">
        <v>113</v>
      </c>
      <c r="P89" s="5" t="s">
        <v>841</v>
      </c>
      <c r="Q89" s="5" t="s">
        <v>372</v>
      </c>
      <c r="R89" s="5" t="s">
        <v>874</v>
      </c>
      <c r="S89" s="7" t="s">
        <v>1354</v>
      </c>
    </row>
    <row r="90" spans="1:19" ht="44" customHeight="1">
      <c r="A90" s="5" t="s">
        <v>13</v>
      </c>
      <c r="B90" s="5" t="s">
        <v>1355</v>
      </c>
      <c r="C90" s="5" t="s">
        <v>1356</v>
      </c>
      <c r="D90" s="6">
        <v>50000000</v>
      </c>
      <c r="E90" s="8">
        <v>45817.395138888889</v>
      </c>
      <c r="F90" s="16">
        <v>45828.416666666657</v>
      </c>
      <c r="G90" s="5" t="s">
        <v>27</v>
      </c>
      <c r="H90" s="5" t="s">
        <v>1357</v>
      </c>
      <c r="I90" s="5" t="s">
        <v>847</v>
      </c>
      <c r="J90" s="5" t="s">
        <v>848</v>
      </c>
      <c r="K90" s="5" t="s">
        <v>1358</v>
      </c>
      <c r="L90" s="5" t="s">
        <v>872</v>
      </c>
      <c r="M90" s="5" t="s">
        <v>853</v>
      </c>
      <c r="N90" s="5" t="s">
        <v>839</v>
      </c>
      <c r="O90" s="5" t="s">
        <v>840</v>
      </c>
      <c r="P90" s="5" t="s">
        <v>1359</v>
      </c>
      <c r="Q90" s="5" t="s">
        <v>372</v>
      </c>
      <c r="R90" s="5" t="s">
        <v>843</v>
      </c>
      <c r="S90" s="7" t="s">
        <v>1360</v>
      </c>
    </row>
    <row r="91" spans="1:19" ht="44" customHeight="1">
      <c r="A91" s="5" t="s">
        <v>13</v>
      </c>
      <c r="B91" s="5" t="s">
        <v>1361</v>
      </c>
      <c r="C91" s="5" t="s">
        <v>1112</v>
      </c>
      <c r="D91" s="6">
        <v>65000000</v>
      </c>
      <c r="E91" s="8">
        <v>45818.657638888893</v>
      </c>
      <c r="F91" s="16">
        <v>45825.583333333343</v>
      </c>
      <c r="G91" s="5" t="s">
        <v>27</v>
      </c>
      <c r="H91" s="5" t="s">
        <v>1362</v>
      </c>
      <c r="I91" s="5" t="s">
        <v>847</v>
      </c>
      <c r="J91" s="5" t="s">
        <v>848</v>
      </c>
      <c r="K91" s="5" t="s">
        <v>942</v>
      </c>
      <c r="L91" s="5" t="s">
        <v>872</v>
      </c>
      <c r="M91" s="5" t="s">
        <v>113</v>
      </c>
      <c r="N91" s="5" t="s">
        <v>839</v>
      </c>
      <c r="O91" s="5" t="s">
        <v>840</v>
      </c>
      <c r="P91" s="5" t="s">
        <v>841</v>
      </c>
      <c r="Q91" s="5" t="s">
        <v>578</v>
      </c>
      <c r="R91" s="5" t="s">
        <v>843</v>
      </c>
      <c r="S91" s="7" t="s">
        <v>1363</v>
      </c>
    </row>
    <row r="92" spans="1:19" ht="44" customHeight="1">
      <c r="A92" s="5" t="s">
        <v>13</v>
      </c>
      <c r="B92" s="5" t="s">
        <v>762</v>
      </c>
      <c r="C92" s="5" t="s">
        <v>396</v>
      </c>
      <c r="D92" s="6">
        <v>110000000</v>
      </c>
      <c r="E92" s="8">
        <v>45845.44027777778</v>
      </c>
      <c r="F92" s="16" t="s">
        <v>113</v>
      </c>
      <c r="G92" s="5" t="s">
        <v>27</v>
      </c>
      <c r="H92" s="5" t="s">
        <v>759</v>
      </c>
      <c r="I92" s="17" t="s">
        <v>851</v>
      </c>
      <c r="J92" s="5" t="s">
        <v>852</v>
      </c>
      <c r="K92" s="5" t="s">
        <v>113</v>
      </c>
      <c r="L92" s="5" t="s">
        <v>113</v>
      </c>
      <c r="M92" s="5" t="s">
        <v>113</v>
      </c>
      <c r="N92" s="5" t="s">
        <v>839</v>
      </c>
      <c r="O92" s="5" t="s">
        <v>113</v>
      </c>
      <c r="P92" s="5" t="s">
        <v>841</v>
      </c>
      <c r="Q92" s="5" t="s">
        <v>372</v>
      </c>
      <c r="R92" s="5" t="s">
        <v>874</v>
      </c>
      <c r="S92" s="7" t="s">
        <v>763</v>
      </c>
    </row>
    <row r="93" spans="1:19" ht="44" customHeight="1">
      <c r="A93" s="5" t="s">
        <v>13</v>
      </c>
      <c r="B93" s="5" t="s">
        <v>1364</v>
      </c>
      <c r="C93" s="5" t="s">
        <v>1365</v>
      </c>
      <c r="D93" s="6">
        <v>67000000</v>
      </c>
      <c r="E93" s="8">
        <v>45867.349305555559</v>
      </c>
      <c r="F93" s="16" t="s">
        <v>113</v>
      </c>
      <c r="G93" s="5" t="s">
        <v>27</v>
      </c>
      <c r="H93" s="5" t="s">
        <v>113</v>
      </c>
      <c r="I93" s="17" t="s">
        <v>851</v>
      </c>
      <c r="J93" s="5" t="s">
        <v>852</v>
      </c>
      <c r="K93" s="5" t="s">
        <v>113</v>
      </c>
      <c r="L93" s="5" t="s">
        <v>113</v>
      </c>
      <c r="M93" s="5" t="s">
        <v>113</v>
      </c>
      <c r="N93" s="5" t="s">
        <v>839</v>
      </c>
      <c r="O93" s="5" t="s">
        <v>113</v>
      </c>
      <c r="P93" s="5" t="s">
        <v>841</v>
      </c>
      <c r="Q93" s="5" t="s">
        <v>372</v>
      </c>
      <c r="R93" s="5" t="s">
        <v>874</v>
      </c>
      <c r="S93" s="7" t="s">
        <v>1366</v>
      </c>
    </row>
    <row r="94" spans="1:19" ht="44" customHeight="1">
      <c r="A94" s="5" t="s">
        <v>13</v>
      </c>
      <c r="B94" s="5" t="s">
        <v>1367</v>
      </c>
      <c r="C94" s="5" t="s">
        <v>452</v>
      </c>
      <c r="D94" s="6">
        <v>170000000</v>
      </c>
      <c r="E94" s="8">
        <v>45874.571527777778</v>
      </c>
      <c r="F94" s="16">
        <v>45887.458333333343</v>
      </c>
      <c r="G94" s="5" t="s">
        <v>27</v>
      </c>
      <c r="H94" s="5" t="s">
        <v>1368</v>
      </c>
      <c r="I94" s="5" t="s">
        <v>847</v>
      </c>
      <c r="J94" s="5" t="s">
        <v>848</v>
      </c>
      <c r="K94" s="5" t="s">
        <v>113</v>
      </c>
      <c r="L94" s="5" t="s">
        <v>872</v>
      </c>
      <c r="M94" s="5" t="s">
        <v>853</v>
      </c>
      <c r="N94" s="5" t="s">
        <v>839</v>
      </c>
      <c r="O94" s="5" t="s">
        <v>840</v>
      </c>
      <c r="P94" s="5" t="s">
        <v>841</v>
      </c>
      <c r="Q94" s="5" t="s">
        <v>372</v>
      </c>
      <c r="R94" s="5" t="s">
        <v>843</v>
      </c>
      <c r="S94" s="7" t="s">
        <v>1369</v>
      </c>
    </row>
    <row r="95" spans="1:19" ht="44" customHeight="1">
      <c r="A95" s="5" t="s">
        <v>13</v>
      </c>
      <c r="B95" s="5" t="s">
        <v>1370</v>
      </c>
      <c r="C95" s="5" t="s">
        <v>1371</v>
      </c>
      <c r="D95" s="6">
        <v>30000000</v>
      </c>
      <c r="E95" s="8">
        <v>45919.394444444442</v>
      </c>
      <c r="F95" s="16" t="s">
        <v>113</v>
      </c>
      <c r="G95" s="5" t="s">
        <v>27</v>
      </c>
      <c r="H95" s="5" t="s">
        <v>113</v>
      </c>
      <c r="I95" s="5" t="s">
        <v>847</v>
      </c>
      <c r="J95" s="5" t="s">
        <v>848</v>
      </c>
      <c r="K95" s="5" t="s">
        <v>1372</v>
      </c>
      <c r="L95" s="5" t="s">
        <v>113</v>
      </c>
      <c r="M95" s="5" t="s">
        <v>113</v>
      </c>
      <c r="N95" s="5" t="s">
        <v>839</v>
      </c>
      <c r="O95" s="5" t="s">
        <v>113</v>
      </c>
      <c r="P95" s="5" t="s">
        <v>841</v>
      </c>
      <c r="Q95" s="5" t="s">
        <v>372</v>
      </c>
      <c r="R95" s="5" t="s">
        <v>874</v>
      </c>
      <c r="S95" s="7" t="s">
        <v>1373</v>
      </c>
    </row>
    <row r="96" spans="1:19" ht="44" customHeight="1">
      <c r="A96" s="5" t="s">
        <v>13</v>
      </c>
      <c r="B96" s="5" t="s">
        <v>1374</v>
      </c>
      <c r="C96" s="5" t="s">
        <v>399</v>
      </c>
      <c r="D96" s="6">
        <v>70570000</v>
      </c>
      <c r="E96" s="8">
        <v>45925.4</v>
      </c>
      <c r="F96" s="16">
        <v>45944.416666666657</v>
      </c>
      <c r="G96" s="5" t="s">
        <v>27</v>
      </c>
      <c r="H96" s="5" t="s">
        <v>1375</v>
      </c>
      <c r="I96" s="5" t="s">
        <v>847</v>
      </c>
      <c r="J96" s="5" t="s">
        <v>848</v>
      </c>
      <c r="K96" s="5" t="s">
        <v>113</v>
      </c>
      <c r="L96" s="5" t="s">
        <v>1376</v>
      </c>
      <c r="M96" s="5" t="s">
        <v>99</v>
      </c>
      <c r="N96" s="5" t="s">
        <v>839</v>
      </c>
      <c r="O96" s="5" t="s">
        <v>840</v>
      </c>
      <c r="P96" s="5" t="s">
        <v>841</v>
      </c>
      <c r="Q96" s="5" t="s">
        <v>372</v>
      </c>
      <c r="R96" s="5" t="s">
        <v>843</v>
      </c>
      <c r="S96" s="7" t="s">
        <v>1377</v>
      </c>
    </row>
    <row r="97" spans="1:19" ht="44" customHeight="1">
      <c r="A97" s="5" t="s">
        <v>13</v>
      </c>
      <c r="B97" s="5" t="s">
        <v>1378</v>
      </c>
      <c r="C97" s="5" t="s">
        <v>491</v>
      </c>
      <c r="D97" s="6">
        <v>85000000</v>
      </c>
      <c r="E97" s="8">
        <v>45949.673611111109</v>
      </c>
      <c r="F97" s="16" t="s">
        <v>113</v>
      </c>
      <c r="G97" s="5" t="s">
        <v>27</v>
      </c>
      <c r="H97" s="5" t="s">
        <v>113</v>
      </c>
      <c r="I97" s="17" t="s">
        <v>851</v>
      </c>
      <c r="J97" s="5" t="s">
        <v>852</v>
      </c>
      <c r="K97" s="5" t="s">
        <v>113</v>
      </c>
      <c r="L97" s="5" t="s">
        <v>113</v>
      </c>
      <c r="M97" s="5" t="s">
        <v>853</v>
      </c>
      <c r="N97" s="5" t="s">
        <v>839</v>
      </c>
      <c r="O97" s="5" t="s">
        <v>841</v>
      </c>
      <c r="P97" s="5" t="s">
        <v>841</v>
      </c>
      <c r="Q97" s="5" t="s">
        <v>372</v>
      </c>
      <c r="R97" s="5" t="s">
        <v>843</v>
      </c>
      <c r="S97" s="7" t="s">
        <v>1379</v>
      </c>
    </row>
    <row r="98" spans="1:19" ht="44" customHeight="1">
      <c r="A98" s="5" t="s">
        <v>13</v>
      </c>
      <c r="B98" s="5" t="s">
        <v>1378</v>
      </c>
      <c r="C98" s="5" t="s">
        <v>491</v>
      </c>
      <c r="D98" s="6">
        <v>85000000</v>
      </c>
      <c r="E98" s="8">
        <v>45949.675000000003</v>
      </c>
      <c r="F98" s="16" t="s">
        <v>113</v>
      </c>
      <c r="G98" s="5" t="s">
        <v>27</v>
      </c>
      <c r="H98" s="5" t="s">
        <v>113</v>
      </c>
      <c r="I98" s="17" t="s">
        <v>851</v>
      </c>
      <c r="J98" s="5" t="s">
        <v>852</v>
      </c>
      <c r="K98" s="5" t="s">
        <v>113</v>
      </c>
      <c r="L98" s="5" t="s">
        <v>113</v>
      </c>
      <c r="M98" s="5" t="s">
        <v>113</v>
      </c>
      <c r="N98" s="5" t="s">
        <v>839</v>
      </c>
      <c r="O98" s="5" t="s">
        <v>113</v>
      </c>
      <c r="P98" s="5" t="s">
        <v>841</v>
      </c>
      <c r="Q98" s="5" t="s">
        <v>372</v>
      </c>
      <c r="R98" s="5" t="s">
        <v>874</v>
      </c>
      <c r="S98" s="7" t="s">
        <v>1380</v>
      </c>
    </row>
    <row r="99" spans="1:19" ht="44" customHeight="1">
      <c r="A99" s="5" t="s">
        <v>13</v>
      </c>
      <c r="B99" s="5" t="s">
        <v>40</v>
      </c>
      <c r="C99" s="5" t="s">
        <v>41</v>
      </c>
      <c r="D99" s="6">
        <v>45000000</v>
      </c>
      <c r="E99" s="8">
        <v>45950.5625</v>
      </c>
      <c r="F99" s="16" t="s">
        <v>113</v>
      </c>
      <c r="G99" s="5" t="s">
        <v>27</v>
      </c>
      <c r="H99" s="5" t="s">
        <v>113</v>
      </c>
      <c r="I99" s="5" t="s">
        <v>847</v>
      </c>
      <c r="J99" s="5" t="s">
        <v>848</v>
      </c>
      <c r="K99" s="5" t="s">
        <v>989</v>
      </c>
      <c r="L99" s="5" t="s">
        <v>872</v>
      </c>
      <c r="M99" s="5" t="s">
        <v>113</v>
      </c>
      <c r="N99" s="5" t="s">
        <v>839</v>
      </c>
      <c r="O99" s="5" t="s">
        <v>113</v>
      </c>
      <c r="P99" s="5" t="s">
        <v>841</v>
      </c>
      <c r="Q99" s="5" t="s">
        <v>372</v>
      </c>
      <c r="R99" s="5" t="s">
        <v>874</v>
      </c>
      <c r="S99" s="7" t="s">
        <v>1381</v>
      </c>
    </row>
    <row r="100" spans="1:19" ht="44" customHeight="1">
      <c r="A100" s="5" t="s">
        <v>13</v>
      </c>
      <c r="B100" s="5" t="s">
        <v>1382</v>
      </c>
      <c r="C100" s="5" t="s">
        <v>458</v>
      </c>
      <c r="D100" s="6">
        <v>16000000</v>
      </c>
      <c r="E100" s="8">
        <v>45965.39166666667</v>
      </c>
      <c r="F100" s="16">
        <v>45968.416666666657</v>
      </c>
      <c r="G100" s="5" t="s">
        <v>27</v>
      </c>
      <c r="H100" s="5" t="s">
        <v>1383</v>
      </c>
      <c r="I100" s="5" t="s">
        <v>847</v>
      </c>
      <c r="J100" s="5" t="s">
        <v>848</v>
      </c>
      <c r="K100" s="5" t="s">
        <v>942</v>
      </c>
      <c r="L100" s="5" t="s">
        <v>1308</v>
      </c>
      <c r="M100" s="5" t="s">
        <v>853</v>
      </c>
      <c r="N100" s="5" t="s">
        <v>839</v>
      </c>
      <c r="O100" s="5" t="s">
        <v>840</v>
      </c>
      <c r="P100" s="5" t="s">
        <v>1359</v>
      </c>
      <c r="Q100" s="5" t="s">
        <v>578</v>
      </c>
      <c r="R100" s="5" t="s">
        <v>843</v>
      </c>
      <c r="S100" s="7" t="s">
        <v>1384</v>
      </c>
    </row>
    <row r="101" spans="1:19" ht="44" customHeight="1">
      <c r="A101" s="5" t="s">
        <v>13</v>
      </c>
      <c r="B101" s="5" t="s">
        <v>487</v>
      </c>
      <c r="C101" s="5" t="s">
        <v>488</v>
      </c>
      <c r="D101" s="6">
        <v>45500000</v>
      </c>
      <c r="E101" s="8">
        <v>45985.73333333333</v>
      </c>
      <c r="F101" s="16">
        <v>46000.416666666657</v>
      </c>
      <c r="G101" s="5" t="s">
        <v>27</v>
      </c>
      <c r="H101" s="5" t="s">
        <v>68</v>
      </c>
      <c r="I101" s="17" t="s">
        <v>851</v>
      </c>
      <c r="J101" s="5" t="s">
        <v>852</v>
      </c>
      <c r="K101" s="5" t="s">
        <v>113</v>
      </c>
      <c r="L101" s="5" t="s">
        <v>113</v>
      </c>
      <c r="M101" s="5" t="s">
        <v>853</v>
      </c>
      <c r="N101" s="5" t="s">
        <v>839</v>
      </c>
      <c r="O101" s="5" t="s">
        <v>840</v>
      </c>
      <c r="P101" s="5" t="s">
        <v>841</v>
      </c>
      <c r="Q101" s="5" t="s">
        <v>372</v>
      </c>
      <c r="R101" s="5" t="s">
        <v>843</v>
      </c>
      <c r="S101" s="7" t="s">
        <v>489</v>
      </c>
    </row>
    <row r="102" spans="1:19" ht="44" customHeight="1">
      <c r="A102" s="5" t="s">
        <v>13</v>
      </c>
      <c r="B102" s="5" t="s">
        <v>1385</v>
      </c>
      <c r="C102" s="5" t="s">
        <v>488</v>
      </c>
      <c r="D102" s="6">
        <v>41600000</v>
      </c>
      <c r="E102" s="8">
        <v>45989.686111111107</v>
      </c>
      <c r="F102" s="16">
        <v>46002.416666666657</v>
      </c>
      <c r="G102" s="5" t="s">
        <v>27</v>
      </c>
      <c r="H102" s="5" t="s">
        <v>1386</v>
      </c>
      <c r="I102" s="17" t="s">
        <v>851</v>
      </c>
      <c r="J102" s="5" t="s">
        <v>852</v>
      </c>
      <c r="K102" s="5" t="s">
        <v>113</v>
      </c>
      <c r="L102" s="5" t="s">
        <v>113</v>
      </c>
      <c r="M102" s="5" t="s">
        <v>853</v>
      </c>
      <c r="N102" s="5" t="s">
        <v>839</v>
      </c>
      <c r="O102" s="5" t="s">
        <v>840</v>
      </c>
      <c r="P102" s="5" t="s">
        <v>841</v>
      </c>
      <c r="Q102" s="5" t="s">
        <v>372</v>
      </c>
      <c r="R102" s="5" t="s">
        <v>843</v>
      </c>
      <c r="S102" s="7" t="s">
        <v>1387</v>
      </c>
    </row>
    <row r="103" spans="1:19" ht="44" customHeight="1">
      <c r="A103" s="5" t="s">
        <v>13</v>
      </c>
      <c r="B103" s="5" t="s">
        <v>1388</v>
      </c>
      <c r="C103" s="5" t="s">
        <v>752</v>
      </c>
      <c r="D103" s="6">
        <v>15000000</v>
      </c>
      <c r="E103" s="8">
        <v>45999.400694444441</v>
      </c>
      <c r="F103" s="16">
        <v>45999.5</v>
      </c>
      <c r="G103" s="5" t="s">
        <v>27</v>
      </c>
      <c r="H103" s="5" t="s">
        <v>1389</v>
      </c>
      <c r="I103" s="5" t="s">
        <v>847</v>
      </c>
      <c r="J103" s="5" t="s">
        <v>848</v>
      </c>
      <c r="K103" s="5" t="s">
        <v>113</v>
      </c>
      <c r="L103" s="5" t="s">
        <v>872</v>
      </c>
      <c r="M103" s="5" t="s">
        <v>853</v>
      </c>
      <c r="N103" s="5" t="s">
        <v>839</v>
      </c>
      <c r="O103" s="5" t="s">
        <v>840</v>
      </c>
      <c r="P103" s="5" t="s">
        <v>841</v>
      </c>
      <c r="Q103" s="5" t="s">
        <v>719</v>
      </c>
      <c r="R103" s="5" t="s">
        <v>1390</v>
      </c>
      <c r="S103" s="7" t="s">
        <v>1391</v>
      </c>
    </row>
    <row r="104" spans="1:19" ht="44" customHeight="1">
      <c r="A104" s="5" t="s">
        <v>13</v>
      </c>
      <c r="B104" s="5" t="s">
        <v>580</v>
      </c>
      <c r="C104" s="5" t="s">
        <v>581</v>
      </c>
      <c r="D104" s="6">
        <v>210000000</v>
      </c>
      <c r="E104" s="8">
        <v>45999.672222222223</v>
      </c>
      <c r="F104" s="16">
        <v>46010.416666666657</v>
      </c>
      <c r="G104" s="5" t="s">
        <v>27</v>
      </c>
      <c r="H104" s="5" t="s">
        <v>1392</v>
      </c>
      <c r="I104" s="5" t="s">
        <v>847</v>
      </c>
      <c r="J104" s="5" t="s">
        <v>848</v>
      </c>
      <c r="K104" s="5" t="s">
        <v>868</v>
      </c>
      <c r="L104" s="5" t="s">
        <v>872</v>
      </c>
      <c r="M104" s="5" t="s">
        <v>99</v>
      </c>
      <c r="N104" s="5" t="s">
        <v>839</v>
      </c>
      <c r="O104" s="5" t="s">
        <v>840</v>
      </c>
      <c r="P104" s="5" t="s">
        <v>841</v>
      </c>
      <c r="Q104" s="5" t="s">
        <v>372</v>
      </c>
      <c r="R104" s="5" t="s">
        <v>1393</v>
      </c>
      <c r="S104" s="7" t="s">
        <v>582</v>
      </c>
    </row>
    <row r="105" spans="1:19" ht="44" customHeight="1">
      <c r="A105" s="5" t="s">
        <v>13</v>
      </c>
      <c r="B105" s="5" t="s">
        <v>1394</v>
      </c>
      <c r="C105" s="5" t="s">
        <v>1138</v>
      </c>
      <c r="D105" s="6">
        <v>10000000</v>
      </c>
      <c r="E105" s="8">
        <v>46009.546527777777</v>
      </c>
      <c r="F105" s="16">
        <v>46009.666666666657</v>
      </c>
      <c r="G105" s="5" t="s">
        <v>27</v>
      </c>
      <c r="H105" s="5" t="s">
        <v>1395</v>
      </c>
      <c r="I105" s="17" t="s">
        <v>851</v>
      </c>
      <c r="J105" s="5" t="s">
        <v>852</v>
      </c>
      <c r="K105" s="5" t="s">
        <v>113</v>
      </c>
      <c r="L105" s="5" t="s">
        <v>113</v>
      </c>
      <c r="M105" s="5" t="s">
        <v>113</v>
      </c>
      <c r="N105" s="5" t="s">
        <v>839</v>
      </c>
      <c r="O105" s="5" t="s">
        <v>113</v>
      </c>
      <c r="P105" s="5" t="s">
        <v>841</v>
      </c>
      <c r="Q105" s="5" t="s">
        <v>719</v>
      </c>
      <c r="R105" s="5" t="s">
        <v>874</v>
      </c>
      <c r="S105" s="7" t="s">
        <v>1396</v>
      </c>
    </row>
    <row r="107" spans="1:19" ht="24" customHeight="1">
      <c r="A107" s="23" t="s">
        <v>1397</v>
      </c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spans="1:19" ht="36" customHeight="1">
      <c r="A108" s="4" t="s">
        <v>6</v>
      </c>
      <c r="B108" s="4" t="s">
        <v>17</v>
      </c>
      <c r="C108" s="4" t="s">
        <v>18</v>
      </c>
      <c r="D108" s="4" t="s">
        <v>19</v>
      </c>
      <c r="E108" s="4" t="s">
        <v>21</v>
      </c>
      <c r="F108" s="4" t="s">
        <v>27</v>
      </c>
      <c r="G108" s="4" t="s">
        <v>22</v>
      </c>
      <c r="H108" s="4" t="s">
        <v>824</v>
      </c>
      <c r="I108" s="4" t="s">
        <v>825</v>
      </c>
      <c r="J108" s="4" t="s">
        <v>826</v>
      </c>
      <c r="K108" s="4" t="s">
        <v>827</v>
      </c>
      <c r="L108" s="4" t="s">
        <v>828</v>
      </c>
      <c r="M108" s="4" t="s">
        <v>829</v>
      </c>
      <c r="N108" s="4" t="s">
        <v>830</v>
      </c>
      <c r="O108" s="4" t="s">
        <v>831</v>
      </c>
      <c r="P108" s="4" t="s">
        <v>832</v>
      </c>
      <c r="Q108" s="4" t="s">
        <v>358</v>
      </c>
      <c r="R108" s="4" t="s">
        <v>833</v>
      </c>
      <c r="S108" s="4" t="s">
        <v>834</v>
      </c>
    </row>
    <row r="109" spans="1:19" ht="44" customHeight="1">
      <c r="A109" s="5" t="s">
        <v>14</v>
      </c>
      <c r="B109" s="5" t="s">
        <v>521</v>
      </c>
      <c r="C109" s="5" t="s">
        <v>388</v>
      </c>
      <c r="D109" s="6">
        <v>175000000</v>
      </c>
      <c r="E109" s="8">
        <v>45667.443055555559</v>
      </c>
      <c r="F109" s="16">
        <v>45678.583333333343</v>
      </c>
      <c r="G109" s="5" t="s">
        <v>27</v>
      </c>
      <c r="H109" s="5" t="s">
        <v>113</v>
      </c>
      <c r="I109" s="14" t="s">
        <v>1040</v>
      </c>
      <c r="J109" s="5" t="s">
        <v>1041</v>
      </c>
      <c r="K109" s="5" t="s">
        <v>875</v>
      </c>
      <c r="L109" s="5" t="s">
        <v>113</v>
      </c>
      <c r="M109" s="5" t="s">
        <v>853</v>
      </c>
      <c r="N109" s="5" t="s">
        <v>839</v>
      </c>
      <c r="O109" s="5" t="s">
        <v>840</v>
      </c>
      <c r="P109" s="5" t="s">
        <v>841</v>
      </c>
      <c r="Q109" s="5" t="s">
        <v>372</v>
      </c>
      <c r="R109" s="5" t="s">
        <v>843</v>
      </c>
      <c r="S109" s="7" t="s">
        <v>522</v>
      </c>
    </row>
    <row r="110" spans="1:19" ht="44" customHeight="1">
      <c r="A110" s="5" t="s">
        <v>14</v>
      </c>
      <c r="B110" s="5" t="s">
        <v>438</v>
      </c>
      <c r="C110" s="5" t="s">
        <v>388</v>
      </c>
      <c r="D110" s="6">
        <v>175000000</v>
      </c>
      <c r="E110" s="8">
        <v>45667.554166666669</v>
      </c>
      <c r="F110" s="16">
        <v>45678.583333333343</v>
      </c>
      <c r="G110" s="5" t="s">
        <v>27</v>
      </c>
      <c r="H110" s="5" t="s">
        <v>113</v>
      </c>
      <c r="I110" s="14" t="s">
        <v>1040</v>
      </c>
      <c r="J110" s="5" t="s">
        <v>1041</v>
      </c>
      <c r="K110" s="5" t="s">
        <v>875</v>
      </c>
      <c r="L110" s="5" t="s">
        <v>113</v>
      </c>
      <c r="M110" s="5" t="s">
        <v>853</v>
      </c>
      <c r="N110" s="5" t="s">
        <v>839</v>
      </c>
      <c r="O110" s="5" t="s">
        <v>840</v>
      </c>
      <c r="P110" s="5" t="s">
        <v>841</v>
      </c>
      <c r="Q110" s="5" t="s">
        <v>372</v>
      </c>
      <c r="R110" s="5" t="s">
        <v>843</v>
      </c>
      <c r="S110" s="7" t="s">
        <v>439</v>
      </c>
    </row>
    <row r="111" spans="1:19" ht="44" customHeight="1">
      <c r="A111" s="5" t="s">
        <v>14</v>
      </c>
      <c r="B111" s="5" t="s">
        <v>565</v>
      </c>
      <c r="C111" s="5" t="s">
        <v>368</v>
      </c>
      <c r="D111" s="6">
        <v>600000000</v>
      </c>
      <c r="E111" s="8">
        <v>45667.556250000001</v>
      </c>
      <c r="F111" s="16">
        <v>45678.666666666657</v>
      </c>
      <c r="G111" s="5" t="s">
        <v>27</v>
      </c>
      <c r="H111" s="5" t="s">
        <v>786</v>
      </c>
      <c r="I111" s="5" t="s">
        <v>847</v>
      </c>
      <c r="J111" s="5" t="s">
        <v>848</v>
      </c>
      <c r="K111" s="5" t="s">
        <v>868</v>
      </c>
      <c r="L111" s="5" t="s">
        <v>113</v>
      </c>
      <c r="M111" s="5" t="s">
        <v>99</v>
      </c>
      <c r="N111" s="5" t="s">
        <v>893</v>
      </c>
      <c r="O111" s="5" t="s">
        <v>841</v>
      </c>
      <c r="P111" s="5" t="s">
        <v>841</v>
      </c>
      <c r="Q111" s="5" t="s">
        <v>372</v>
      </c>
      <c r="R111" s="5" t="s">
        <v>843</v>
      </c>
      <c r="S111" s="7" t="s">
        <v>566</v>
      </c>
    </row>
    <row r="112" spans="1:19" ht="44" customHeight="1">
      <c r="A112" s="5" t="s">
        <v>14</v>
      </c>
      <c r="B112" s="5" t="s">
        <v>639</v>
      </c>
      <c r="C112" s="5" t="s">
        <v>388</v>
      </c>
      <c r="D112" s="6">
        <v>175000000</v>
      </c>
      <c r="E112" s="8">
        <v>45677.411111111112</v>
      </c>
      <c r="F112" s="16">
        <v>45692.583333333343</v>
      </c>
      <c r="G112" s="5" t="s">
        <v>27</v>
      </c>
      <c r="H112" s="5" t="s">
        <v>113</v>
      </c>
      <c r="I112" s="14" t="s">
        <v>1040</v>
      </c>
      <c r="J112" s="5" t="s">
        <v>1041</v>
      </c>
      <c r="K112" s="5" t="s">
        <v>875</v>
      </c>
      <c r="L112" s="5" t="s">
        <v>113</v>
      </c>
      <c r="M112" s="5" t="s">
        <v>853</v>
      </c>
      <c r="N112" s="5" t="s">
        <v>839</v>
      </c>
      <c r="O112" s="5" t="s">
        <v>840</v>
      </c>
      <c r="P112" s="5" t="s">
        <v>841</v>
      </c>
      <c r="Q112" s="5" t="s">
        <v>422</v>
      </c>
      <c r="R112" s="5" t="s">
        <v>843</v>
      </c>
      <c r="S112" s="7" t="s">
        <v>640</v>
      </c>
    </row>
    <row r="113" spans="1:19" ht="44" customHeight="1">
      <c r="A113" s="5" t="s">
        <v>14</v>
      </c>
      <c r="B113" s="5" t="s">
        <v>519</v>
      </c>
      <c r="C113" s="5" t="s">
        <v>388</v>
      </c>
      <c r="D113" s="6">
        <v>175000000</v>
      </c>
      <c r="E113" s="8">
        <v>45677.416666666657</v>
      </c>
      <c r="F113" s="16">
        <v>45692.583333333343</v>
      </c>
      <c r="G113" s="5" t="s">
        <v>27</v>
      </c>
      <c r="H113" s="5" t="s">
        <v>113</v>
      </c>
      <c r="I113" s="14" t="s">
        <v>1040</v>
      </c>
      <c r="J113" s="5" t="s">
        <v>1041</v>
      </c>
      <c r="K113" s="5" t="s">
        <v>875</v>
      </c>
      <c r="L113" s="5" t="s">
        <v>113</v>
      </c>
      <c r="M113" s="5" t="s">
        <v>853</v>
      </c>
      <c r="N113" s="5" t="s">
        <v>839</v>
      </c>
      <c r="O113" s="5" t="s">
        <v>840</v>
      </c>
      <c r="P113" s="5" t="s">
        <v>841</v>
      </c>
      <c r="Q113" s="5" t="s">
        <v>422</v>
      </c>
      <c r="R113" s="5" t="s">
        <v>843</v>
      </c>
      <c r="S113" s="7" t="s">
        <v>520</v>
      </c>
    </row>
    <row r="114" spans="1:19" ht="44" customHeight="1">
      <c r="A114" s="5" t="s">
        <v>14</v>
      </c>
      <c r="B114" s="5" t="s">
        <v>436</v>
      </c>
      <c r="C114" s="5" t="s">
        <v>388</v>
      </c>
      <c r="D114" s="6">
        <v>175000000</v>
      </c>
      <c r="E114" s="8">
        <v>45677.425694444442</v>
      </c>
      <c r="F114" s="16">
        <v>45692.583333333343</v>
      </c>
      <c r="G114" s="5" t="s">
        <v>27</v>
      </c>
      <c r="H114" s="5" t="s">
        <v>113</v>
      </c>
      <c r="I114" s="14" t="s">
        <v>1040</v>
      </c>
      <c r="J114" s="5" t="s">
        <v>1041</v>
      </c>
      <c r="K114" s="5" t="s">
        <v>875</v>
      </c>
      <c r="L114" s="5" t="s">
        <v>113</v>
      </c>
      <c r="M114" s="5" t="s">
        <v>853</v>
      </c>
      <c r="N114" s="5" t="s">
        <v>839</v>
      </c>
      <c r="O114" s="5" t="s">
        <v>840</v>
      </c>
      <c r="P114" s="5" t="s">
        <v>841</v>
      </c>
      <c r="Q114" s="5" t="s">
        <v>422</v>
      </c>
      <c r="R114" s="5" t="s">
        <v>843</v>
      </c>
      <c r="S114" s="7" t="s">
        <v>437</v>
      </c>
    </row>
    <row r="115" spans="1:19" ht="44" customHeight="1">
      <c r="A115" s="5" t="s">
        <v>14</v>
      </c>
      <c r="B115" s="5" t="s">
        <v>433</v>
      </c>
      <c r="C115" s="5" t="s">
        <v>434</v>
      </c>
      <c r="D115" s="6">
        <v>150000000</v>
      </c>
      <c r="E115" s="8">
        <v>45681.561805555553</v>
      </c>
      <c r="F115" s="16">
        <v>45705.708333333343</v>
      </c>
      <c r="G115" s="5" t="s">
        <v>27</v>
      </c>
      <c r="H115" s="5" t="s">
        <v>812</v>
      </c>
      <c r="I115" s="5" t="s">
        <v>1037</v>
      </c>
      <c r="J115" s="5" t="s">
        <v>1038</v>
      </c>
      <c r="K115" s="5" t="s">
        <v>113</v>
      </c>
      <c r="L115" s="5" t="s">
        <v>113</v>
      </c>
      <c r="M115" s="5" t="s">
        <v>853</v>
      </c>
      <c r="N115" s="5" t="s">
        <v>893</v>
      </c>
      <c r="O115" s="5" t="s">
        <v>841</v>
      </c>
      <c r="P115" s="5" t="s">
        <v>841</v>
      </c>
      <c r="Q115" s="5" t="s">
        <v>422</v>
      </c>
      <c r="R115" s="5" t="s">
        <v>843</v>
      </c>
      <c r="S115" s="7" t="s">
        <v>435</v>
      </c>
    </row>
    <row r="116" spans="1:19" ht="44" customHeight="1">
      <c r="A116" s="5" t="s">
        <v>14</v>
      </c>
      <c r="B116" s="5" t="s">
        <v>560</v>
      </c>
      <c r="C116" s="5" t="s">
        <v>434</v>
      </c>
      <c r="D116" s="6">
        <v>140000000</v>
      </c>
      <c r="E116" s="8">
        <v>45681.563194444447</v>
      </c>
      <c r="F116" s="16">
        <v>45705.708333333343</v>
      </c>
      <c r="G116" s="5" t="s">
        <v>27</v>
      </c>
      <c r="H116" s="5" t="s">
        <v>730</v>
      </c>
      <c r="I116" s="5" t="s">
        <v>1037</v>
      </c>
      <c r="J116" s="5" t="s">
        <v>1038</v>
      </c>
      <c r="K116" s="5" t="s">
        <v>113</v>
      </c>
      <c r="L116" s="5" t="s">
        <v>113</v>
      </c>
      <c r="M116" s="5" t="s">
        <v>853</v>
      </c>
      <c r="N116" s="5" t="s">
        <v>893</v>
      </c>
      <c r="O116" s="5" t="s">
        <v>841</v>
      </c>
      <c r="P116" s="5" t="s">
        <v>841</v>
      </c>
      <c r="Q116" s="5" t="s">
        <v>422</v>
      </c>
      <c r="R116" s="5" t="s">
        <v>843</v>
      </c>
      <c r="S116" s="7" t="s">
        <v>561</v>
      </c>
    </row>
    <row r="117" spans="1:19" ht="44" customHeight="1">
      <c r="A117" s="5" t="s">
        <v>14</v>
      </c>
      <c r="B117" s="5" t="s">
        <v>430</v>
      </c>
      <c r="C117" s="5" t="s">
        <v>431</v>
      </c>
      <c r="D117" s="6">
        <v>180000000</v>
      </c>
      <c r="E117" s="8">
        <v>45691.686111111107</v>
      </c>
      <c r="F117" s="16">
        <v>45702.416666666657</v>
      </c>
      <c r="G117" s="5" t="s">
        <v>27</v>
      </c>
      <c r="H117" s="5" t="s">
        <v>74</v>
      </c>
      <c r="I117" s="5" t="s">
        <v>847</v>
      </c>
      <c r="J117" s="5" t="s">
        <v>848</v>
      </c>
      <c r="K117" s="5" t="s">
        <v>849</v>
      </c>
      <c r="L117" s="5" t="s">
        <v>113</v>
      </c>
      <c r="M117" s="5" t="s">
        <v>853</v>
      </c>
      <c r="N117" s="5" t="s">
        <v>893</v>
      </c>
      <c r="O117" s="5" t="s">
        <v>840</v>
      </c>
      <c r="P117" s="5" t="s">
        <v>841</v>
      </c>
      <c r="Q117" s="5" t="s">
        <v>422</v>
      </c>
      <c r="R117" s="5" t="s">
        <v>843</v>
      </c>
      <c r="S117" s="7" t="s">
        <v>432</v>
      </c>
    </row>
    <row r="118" spans="1:19" ht="44" customHeight="1">
      <c r="A118" s="5" t="s">
        <v>14</v>
      </c>
      <c r="B118" s="5" t="s">
        <v>424</v>
      </c>
      <c r="C118" s="5" t="s">
        <v>425</v>
      </c>
      <c r="D118" s="6">
        <v>1600000000</v>
      </c>
      <c r="E118" s="8">
        <v>45698.765972222223</v>
      </c>
      <c r="F118" s="16">
        <v>45709.458333333343</v>
      </c>
      <c r="G118" s="5" t="s">
        <v>27</v>
      </c>
      <c r="H118" s="5" t="s">
        <v>64</v>
      </c>
      <c r="I118" s="5" t="s">
        <v>1037</v>
      </c>
      <c r="J118" s="5" t="s">
        <v>1038</v>
      </c>
      <c r="K118" s="5" t="s">
        <v>113</v>
      </c>
      <c r="L118" s="5" t="s">
        <v>113</v>
      </c>
      <c r="M118" s="5" t="s">
        <v>853</v>
      </c>
      <c r="N118" s="5" t="s">
        <v>893</v>
      </c>
      <c r="O118" s="5" t="s">
        <v>841</v>
      </c>
      <c r="P118" s="5" t="s">
        <v>841</v>
      </c>
      <c r="Q118" s="5" t="s">
        <v>422</v>
      </c>
      <c r="R118" s="5" t="s">
        <v>843</v>
      </c>
      <c r="S118" s="7" t="s">
        <v>426</v>
      </c>
    </row>
    <row r="119" spans="1:19" ht="44" customHeight="1">
      <c r="A119" s="5" t="s">
        <v>14</v>
      </c>
      <c r="B119" s="5" t="s">
        <v>420</v>
      </c>
      <c r="C119" s="5" t="s">
        <v>421</v>
      </c>
      <c r="D119" s="6">
        <v>249755840</v>
      </c>
      <c r="E119" s="8">
        <v>45702.660416666673</v>
      </c>
      <c r="F119" s="16">
        <v>45716.416666666657</v>
      </c>
      <c r="G119" s="5" t="s">
        <v>27</v>
      </c>
      <c r="H119" s="5" t="s">
        <v>1014</v>
      </c>
      <c r="I119" s="14" t="s">
        <v>1040</v>
      </c>
      <c r="J119" s="5" t="s">
        <v>1041</v>
      </c>
      <c r="K119" s="5" t="s">
        <v>1398</v>
      </c>
      <c r="L119" s="5" t="s">
        <v>113</v>
      </c>
      <c r="M119" s="5" t="s">
        <v>853</v>
      </c>
      <c r="N119" s="5" t="s">
        <v>893</v>
      </c>
      <c r="O119" s="5" t="s">
        <v>840</v>
      </c>
      <c r="P119" s="5" t="s">
        <v>841</v>
      </c>
      <c r="Q119" s="5" t="s">
        <v>422</v>
      </c>
      <c r="R119" s="5" t="s">
        <v>843</v>
      </c>
      <c r="S119" s="7" t="s">
        <v>423</v>
      </c>
    </row>
    <row r="120" spans="1:19" ht="44" customHeight="1">
      <c r="A120" s="5" t="s">
        <v>14</v>
      </c>
      <c r="B120" s="5" t="s">
        <v>1399</v>
      </c>
      <c r="C120" s="5" t="s">
        <v>568</v>
      </c>
      <c r="D120" s="6">
        <v>80000000</v>
      </c>
      <c r="E120" s="8">
        <v>45707.813194444447</v>
      </c>
      <c r="F120" s="16">
        <v>45720.416666666657</v>
      </c>
      <c r="G120" s="5" t="s">
        <v>27</v>
      </c>
      <c r="H120" s="5" t="s">
        <v>113</v>
      </c>
      <c r="I120" s="14" t="s">
        <v>1040</v>
      </c>
      <c r="J120" s="5" t="s">
        <v>1041</v>
      </c>
      <c r="K120" s="5" t="s">
        <v>875</v>
      </c>
      <c r="L120" s="5" t="s">
        <v>113</v>
      </c>
      <c r="M120" s="5" t="s">
        <v>853</v>
      </c>
      <c r="N120" s="5" t="s">
        <v>839</v>
      </c>
      <c r="O120" s="5" t="s">
        <v>840</v>
      </c>
      <c r="P120" s="5" t="s">
        <v>873</v>
      </c>
      <c r="Q120" s="5" t="s">
        <v>372</v>
      </c>
      <c r="R120" s="5" t="s">
        <v>843</v>
      </c>
      <c r="S120" s="7" t="s">
        <v>1400</v>
      </c>
    </row>
    <row r="121" spans="1:19" ht="44" customHeight="1">
      <c r="A121" s="5" t="s">
        <v>14</v>
      </c>
      <c r="B121" s="5" t="s">
        <v>1401</v>
      </c>
      <c r="C121" s="5" t="s">
        <v>1402</v>
      </c>
      <c r="D121" s="6"/>
      <c r="E121" s="8">
        <v>45715.631944444453</v>
      </c>
      <c r="F121" s="16">
        <v>45729.708333333343</v>
      </c>
      <c r="G121" s="5" t="s">
        <v>27</v>
      </c>
      <c r="H121" s="5" t="s">
        <v>113</v>
      </c>
      <c r="I121" s="14" t="s">
        <v>1040</v>
      </c>
      <c r="J121" s="5" t="s">
        <v>1041</v>
      </c>
      <c r="K121" s="5" t="s">
        <v>875</v>
      </c>
      <c r="L121" s="5" t="s">
        <v>113</v>
      </c>
      <c r="M121" s="5" t="s">
        <v>99</v>
      </c>
      <c r="N121" s="5" t="s">
        <v>839</v>
      </c>
      <c r="O121" s="5" t="s">
        <v>841</v>
      </c>
      <c r="P121" s="5" t="s">
        <v>841</v>
      </c>
      <c r="Q121" s="5" t="s">
        <v>1403</v>
      </c>
      <c r="R121" s="5" t="s">
        <v>1404</v>
      </c>
      <c r="S121" s="7" t="s">
        <v>1405</v>
      </c>
    </row>
    <row r="122" spans="1:19" ht="44" customHeight="1">
      <c r="A122" s="5" t="s">
        <v>14</v>
      </c>
      <c r="B122" s="5" t="s">
        <v>1399</v>
      </c>
      <c r="C122" s="5" t="s">
        <v>568</v>
      </c>
      <c r="D122" s="6">
        <v>80000000</v>
      </c>
      <c r="E122" s="8">
        <v>45721.690972222219</v>
      </c>
      <c r="F122" s="16">
        <v>45733.416666666657</v>
      </c>
      <c r="G122" s="5" t="s">
        <v>27</v>
      </c>
      <c r="H122" s="5" t="s">
        <v>113</v>
      </c>
      <c r="I122" s="14" t="s">
        <v>1040</v>
      </c>
      <c r="J122" s="5" t="s">
        <v>1041</v>
      </c>
      <c r="K122" s="5" t="s">
        <v>875</v>
      </c>
      <c r="L122" s="5" t="s">
        <v>113</v>
      </c>
      <c r="M122" s="5" t="s">
        <v>853</v>
      </c>
      <c r="N122" s="5" t="s">
        <v>839</v>
      </c>
      <c r="O122" s="5" t="s">
        <v>840</v>
      </c>
      <c r="P122" s="5" t="s">
        <v>873</v>
      </c>
      <c r="Q122" s="5" t="s">
        <v>372</v>
      </c>
      <c r="R122" s="5" t="s">
        <v>843</v>
      </c>
      <c r="S122" s="7" t="s">
        <v>1406</v>
      </c>
    </row>
    <row r="123" spans="1:19" ht="44" customHeight="1">
      <c r="A123" s="5" t="s">
        <v>14</v>
      </c>
      <c r="B123" s="5" t="s">
        <v>517</v>
      </c>
      <c r="C123" s="5" t="s">
        <v>434</v>
      </c>
      <c r="D123" s="6">
        <v>275000000</v>
      </c>
      <c r="E123" s="8">
        <v>45722.538888888892</v>
      </c>
      <c r="F123" s="16">
        <v>45742.708333333343</v>
      </c>
      <c r="G123" s="5" t="s">
        <v>27</v>
      </c>
      <c r="H123" s="5" t="s">
        <v>680</v>
      </c>
      <c r="I123" s="14" t="s">
        <v>1040</v>
      </c>
      <c r="J123" s="5" t="s">
        <v>1041</v>
      </c>
      <c r="K123" s="5" t="s">
        <v>875</v>
      </c>
      <c r="L123" s="5" t="s">
        <v>113</v>
      </c>
      <c r="M123" s="5" t="s">
        <v>853</v>
      </c>
      <c r="N123" s="5" t="s">
        <v>893</v>
      </c>
      <c r="O123" s="5" t="s">
        <v>840</v>
      </c>
      <c r="P123" s="5" t="s">
        <v>841</v>
      </c>
      <c r="Q123" s="5" t="s">
        <v>372</v>
      </c>
      <c r="R123" s="5" t="s">
        <v>1407</v>
      </c>
      <c r="S123" s="7" t="s">
        <v>518</v>
      </c>
    </row>
    <row r="124" spans="1:19" ht="44" customHeight="1">
      <c r="A124" s="5" t="s">
        <v>14</v>
      </c>
      <c r="B124" s="5" t="s">
        <v>628</v>
      </c>
      <c r="C124" s="5" t="s">
        <v>607</v>
      </c>
      <c r="D124" s="6">
        <v>227997000</v>
      </c>
      <c r="E124" s="8">
        <v>45727.445833333331</v>
      </c>
      <c r="F124" s="16">
        <v>45748.458333333343</v>
      </c>
      <c r="G124" s="5" t="s">
        <v>27</v>
      </c>
      <c r="H124" s="5" t="s">
        <v>74</v>
      </c>
      <c r="I124" s="5" t="s">
        <v>847</v>
      </c>
      <c r="J124" s="5" t="s">
        <v>848</v>
      </c>
      <c r="K124" s="5" t="s">
        <v>1200</v>
      </c>
      <c r="L124" s="5" t="s">
        <v>113</v>
      </c>
      <c r="M124" s="5" t="s">
        <v>853</v>
      </c>
      <c r="N124" s="5" t="s">
        <v>839</v>
      </c>
      <c r="O124" s="5" t="s">
        <v>840</v>
      </c>
      <c r="P124" s="5" t="s">
        <v>1408</v>
      </c>
      <c r="Q124" s="5" t="s">
        <v>372</v>
      </c>
      <c r="R124" s="5" t="s">
        <v>843</v>
      </c>
      <c r="S124" s="7" t="s">
        <v>629</v>
      </c>
    </row>
    <row r="125" spans="1:19" ht="44" customHeight="1">
      <c r="A125" s="5" t="s">
        <v>14</v>
      </c>
      <c r="B125" s="5" t="s">
        <v>1409</v>
      </c>
      <c r="C125" s="5" t="s">
        <v>1056</v>
      </c>
      <c r="D125" s="6">
        <v>200000000</v>
      </c>
      <c r="E125" s="8">
        <v>45733.486111111109</v>
      </c>
      <c r="F125" s="16">
        <v>45754.666666666657</v>
      </c>
      <c r="G125" s="5" t="s">
        <v>27</v>
      </c>
      <c r="H125" s="5" t="s">
        <v>113</v>
      </c>
      <c r="I125" s="5" t="s">
        <v>1037</v>
      </c>
      <c r="J125" s="5" t="s">
        <v>1038</v>
      </c>
      <c r="K125" s="5" t="s">
        <v>113</v>
      </c>
      <c r="L125" s="5" t="s">
        <v>113</v>
      </c>
      <c r="M125" s="5" t="s">
        <v>853</v>
      </c>
      <c r="N125" s="5" t="s">
        <v>839</v>
      </c>
      <c r="O125" s="5" t="s">
        <v>840</v>
      </c>
      <c r="P125" s="5" t="s">
        <v>865</v>
      </c>
      <c r="Q125" s="5" t="s">
        <v>372</v>
      </c>
      <c r="R125" s="5" t="s">
        <v>843</v>
      </c>
      <c r="S125" s="7" t="s">
        <v>1410</v>
      </c>
    </row>
    <row r="126" spans="1:19" ht="44" customHeight="1">
      <c r="A126" s="5" t="s">
        <v>14</v>
      </c>
      <c r="B126" s="5" t="s">
        <v>1411</v>
      </c>
      <c r="C126" s="5" t="s">
        <v>654</v>
      </c>
      <c r="D126" s="6">
        <v>80000000</v>
      </c>
      <c r="E126" s="8">
        <v>45737.424305555563</v>
      </c>
      <c r="F126" s="16">
        <v>45747.708333333343</v>
      </c>
      <c r="G126" s="5" t="s">
        <v>27</v>
      </c>
      <c r="H126" s="5" t="s">
        <v>113</v>
      </c>
      <c r="I126" s="14" t="s">
        <v>1040</v>
      </c>
      <c r="J126" s="5" t="s">
        <v>1041</v>
      </c>
      <c r="K126" s="5" t="s">
        <v>1412</v>
      </c>
      <c r="L126" s="5" t="s">
        <v>113</v>
      </c>
      <c r="M126" s="5" t="s">
        <v>99</v>
      </c>
      <c r="N126" s="5" t="s">
        <v>893</v>
      </c>
      <c r="O126" s="5" t="s">
        <v>840</v>
      </c>
      <c r="P126" s="5" t="s">
        <v>841</v>
      </c>
      <c r="Q126" s="5" t="s">
        <v>372</v>
      </c>
      <c r="R126" s="5" t="s">
        <v>1413</v>
      </c>
      <c r="S126" s="7" t="s">
        <v>1414</v>
      </c>
    </row>
    <row r="127" spans="1:19" ht="44" customHeight="1">
      <c r="A127" s="5" t="s">
        <v>14</v>
      </c>
      <c r="B127" s="5" t="s">
        <v>1415</v>
      </c>
      <c r="C127" s="5" t="s">
        <v>614</v>
      </c>
      <c r="D127" s="6">
        <v>421000000</v>
      </c>
      <c r="E127" s="8">
        <v>45741.367361111108</v>
      </c>
      <c r="F127" s="16">
        <v>45762.416666666657</v>
      </c>
      <c r="G127" s="5" t="s">
        <v>27</v>
      </c>
      <c r="H127" s="5" t="s">
        <v>1416</v>
      </c>
      <c r="I127" s="5" t="s">
        <v>1037</v>
      </c>
      <c r="J127" s="5" t="s">
        <v>1038</v>
      </c>
      <c r="K127" s="5" t="s">
        <v>113</v>
      </c>
      <c r="L127" s="5" t="s">
        <v>113</v>
      </c>
      <c r="M127" s="5" t="s">
        <v>113</v>
      </c>
      <c r="N127" s="5" t="s">
        <v>839</v>
      </c>
      <c r="O127" s="5" t="s">
        <v>113</v>
      </c>
      <c r="P127" s="5" t="s">
        <v>841</v>
      </c>
      <c r="Q127" s="5" t="s">
        <v>372</v>
      </c>
      <c r="R127" s="5" t="s">
        <v>874</v>
      </c>
      <c r="S127" s="7" t="s">
        <v>1417</v>
      </c>
    </row>
    <row r="128" spans="1:19" ht="44" customHeight="1">
      <c r="A128" s="5" t="s">
        <v>14</v>
      </c>
      <c r="B128" s="5" t="s">
        <v>512</v>
      </c>
      <c r="C128" s="5" t="s">
        <v>444</v>
      </c>
      <c r="D128" s="6">
        <v>110000000</v>
      </c>
      <c r="E128" s="8">
        <v>45741.401388888888</v>
      </c>
      <c r="F128" s="16">
        <v>45762.416666666657</v>
      </c>
      <c r="G128" s="5" t="s">
        <v>27</v>
      </c>
      <c r="H128" s="5" t="s">
        <v>68</v>
      </c>
      <c r="I128" s="5" t="s">
        <v>847</v>
      </c>
      <c r="J128" s="5" t="s">
        <v>848</v>
      </c>
      <c r="K128" s="5" t="s">
        <v>942</v>
      </c>
      <c r="L128" s="5" t="s">
        <v>872</v>
      </c>
      <c r="M128" s="5" t="s">
        <v>853</v>
      </c>
      <c r="N128" s="5" t="s">
        <v>839</v>
      </c>
      <c r="O128" s="5" t="s">
        <v>840</v>
      </c>
      <c r="P128" s="5" t="s">
        <v>841</v>
      </c>
      <c r="Q128" s="5" t="s">
        <v>372</v>
      </c>
      <c r="R128" s="5" t="s">
        <v>843</v>
      </c>
      <c r="S128" s="7" t="s">
        <v>513</v>
      </c>
    </row>
    <row r="129" spans="1:19" ht="44" customHeight="1">
      <c r="A129" s="5" t="s">
        <v>14</v>
      </c>
      <c r="B129" s="5" t="s">
        <v>414</v>
      </c>
      <c r="C129" s="5" t="s">
        <v>415</v>
      </c>
      <c r="D129" s="6">
        <v>483000000</v>
      </c>
      <c r="E129" s="8">
        <v>45743.609027777777</v>
      </c>
      <c r="F129" s="16">
        <v>45764.458333333343</v>
      </c>
      <c r="G129" s="5" t="s">
        <v>27</v>
      </c>
      <c r="H129" s="5" t="s">
        <v>74</v>
      </c>
      <c r="I129" s="5" t="s">
        <v>837</v>
      </c>
      <c r="J129" s="5" t="s">
        <v>838</v>
      </c>
      <c r="K129" s="5" t="s">
        <v>113</v>
      </c>
      <c r="L129" s="5" t="s">
        <v>113</v>
      </c>
      <c r="M129" s="5" t="s">
        <v>99</v>
      </c>
      <c r="N129" s="5" t="s">
        <v>839</v>
      </c>
      <c r="O129" s="5" t="s">
        <v>841</v>
      </c>
      <c r="P129" s="5" t="s">
        <v>841</v>
      </c>
      <c r="Q129" s="5" t="s">
        <v>372</v>
      </c>
      <c r="R129" s="5" t="s">
        <v>843</v>
      </c>
      <c r="S129" s="7" t="s">
        <v>416</v>
      </c>
    </row>
    <row r="130" spans="1:19" ht="44" customHeight="1">
      <c r="A130" s="5" t="s">
        <v>14</v>
      </c>
      <c r="B130" s="5" t="s">
        <v>667</v>
      </c>
      <c r="C130" s="5" t="s">
        <v>48</v>
      </c>
      <c r="D130" s="6">
        <v>55000000</v>
      </c>
      <c r="E130" s="8">
        <v>45743.954861111109</v>
      </c>
      <c r="F130" s="16">
        <v>45754.458333333343</v>
      </c>
      <c r="G130" s="5" t="s">
        <v>27</v>
      </c>
      <c r="H130" s="5" t="s">
        <v>1418</v>
      </c>
      <c r="I130" s="14" t="s">
        <v>1040</v>
      </c>
      <c r="J130" s="5" t="s">
        <v>1041</v>
      </c>
      <c r="K130" s="5" t="s">
        <v>875</v>
      </c>
      <c r="L130" s="5" t="s">
        <v>113</v>
      </c>
      <c r="M130" s="5" t="s">
        <v>853</v>
      </c>
      <c r="N130" s="5" t="s">
        <v>839</v>
      </c>
      <c r="O130" s="5" t="s">
        <v>840</v>
      </c>
      <c r="P130" s="5" t="s">
        <v>841</v>
      </c>
      <c r="Q130" s="5" t="s">
        <v>372</v>
      </c>
      <c r="R130" s="5" t="s">
        <v>843</v>
      </c>
      <c r="S130" s="7" t="s">
        <v>668</v>
      </c>
    </row>
    <row r="131" spans="1:19" ht="44" customHeight="1">
      <c r="A131" s="5" t="s">
        <v>14</v>
      </c>
      <c r="B131" s="5" t="s">
        <v>682</v>
      </c>
      <c r="C131" s="5" t="s">
        <v>434</v>
      </c>
      <c r="D131" s="6">
        <v>96600000</v>
      </c>
      <c r="E131" s="8">
        <v>45744.459027777782</v>
      </c>
      <c r="F131" s="16">
        <v>45747.708333333343</v>
      </c>
      <c r="G131" s="5" t="s">
        <v>27</v>
      </c>
      <c r="H131" s="5" t="s">
        <v>113</v>
      </c>
      <c r="I131" s="5" t="s">
        <v>1037</v>
      </c>
      <c r="J131" s="5" t="s">
        <v>1038</v>
      </c>
      <c r="K131" s="5" t="s">
        <v>113</v>
      </c>
      <c r="L131" s="5" t="s">
        <v>113</v>
      </c>
      <c r="M131" s="5" t="s">
        <v>853</v>
      </c>
      <c r="N131" s="5" t="s">
        <v>893</v>
      </c>
      <c r="O131" s="5" t="s">
        <v>841</v>
      </c>
      <c r="P131" s="5" t="s">
        <v>841</v>
      </c>
      <c r="Q131" s="5" t="s">
        <v>372</v>
      </c>
      <c r="R131" s="5" t="s">
        <v>843</v>
      </c>
      <c r="S131" s="7" t="s">
        <v>1419</v>
      </c>
    </row>
    <row r="132" spans="1:19" ht="44" customHeight="1">
      <c r="A132" s="5" t="s">
        <v>14</v>
      </c>
      <c r="B132" s="5" t="s">
        <v>554</v>
      </c>
      <c r="C132" s="5" t="s">
        <v>555</v>
      </c>
      <c r="D132" s="6">
        <v>330000000</v>
      </c>
      <c r="E132" s="8">
        <v>45747.657638888893</v>
      </c>
      <c r="F132" s="16">
        <v>45765.416666666657</v>
      </c>
      <c r="G132" s="5" t="s">
        <v>27</v>
      </c>
      <c r="H132" s="5" t="s">
        <v>1178</v>
      </c>
      <c r="I132" s="5" t="s">
        <v>1037</v>
      </c>
      <c r="J132" s="5" t="s">
        <v>1038</v>
      </c>
      <c r="K132" s="5" t="s">
        <v>113</v>
      </c>
      <c r="L132" s="5" t="s">
        <v>113</v>
      </c>
      <c r="M132" s="5" t="s">
        <v>853</v>
      </c>
      <c r="N132" s="5" t="s">
        <v>839</v>
      </c>
      <c r="O132" s="5" t="s">
        <v>841</v>
      </c>
      <c r="P132" s="5" t="s">
        <v>841</v>
      </c>
      <c r="Q132" s="5" t="s">
        <v>372</v>
      </c>
      <c r="R132" s="5" t="s">
        <v>843</v>
      </c>
      <c r="S132" s="7" t="s">
        <v>556</v>
      </c>
    </row>
    <row r="133" spans="1:19" ht="44" customHeight="1">
      <c r="A133" s="5" t="s">
        <v>14</v>
      </c>
      <c r="B133" s="5" t="s">
        <v>551</v>
      </c>
      <c r="C133" s="5" t="s">
        <v>552</v>
      </c>
      <c r="D133" s="6">
        <v>80000000</v>
      </c>
      <c r="E133" s="8">
        <v>45748.716666666667</v>
      </c>
      <c r="F133" s="16">
        <v>45762.416666666657</v>
      </c>
      <c r="G133" s="5" t="s">
        <v>27</v>
      </c>
      <c r="H133" s="5" t="s">
        <v>1420</v>
      </c>
      <c r="I133" s="5" t="s">
        <v>837</v>
      </c>
      <c r="J133" s="5" t="s">
        <v>838</v>
      </c>
      <c r="K133" s="5" t="s">
        <v>113</v>
      </c>
      <c r="L133" s="5" t="s">
        <v>113</v>
      </c>
      <c r="M133" s="5" t="s">
        <v>99</v>
      </c>
      <c r="N133" s="5" t="s">
        <v>839</v>
      </c>
      <c r="O133" s="5" t="s">
        <v>841</v>
      </c>
      <c r="P133" s="5" t="s">
        <v>841</v>
      </c>
      <c r="Q133" s="5" t="s">
        <v>372</v>
      </c>
      <c r="R133" s="5" t="s">
        <v>1421</v>
      </c>
      <c r="S133" s="7" t="s">
        <v>553</v>
      </c>
    </row>
    <row r="134" spans="1:19" ht="44" customHeight="1">
      <c r="A134" s="5" t="s">
        <v>14</v>
      </c>
      <c r="B134" s="5" t="s">
        <v>1411</v>
      </c>
      <c r="C134" s="5" t="s">
        <v>654</v>
      </c>
      <c r="D134" s="6">
        <v>80000000</v>
      </c>
      <c r="E134" s="8">
        <v>45750.704861111109</v>
      </c>
      <c r="F134" s="16">
        <v>45761.708333333343</v>
      </c>
      <c r="G134" s="5" t="s">
        <v>27</v>
      </c>
      <c r="H134" s="5" t="s">
        <v>113</v>
      </c>
      <c r="I134" s="14" t="s">
        <v>1040</v>
      </c>
      <c r="J134" s="5" t="s">
        <v>1041</v>
      </c>
      <c r="K134" s="5" t="s">
        <v>1412</v>
      </c>
      <c r="L134" s="5" t="s">
        <v>113</v>
      </c>
      <c r="M134" s="5" t="s">
        <v>99</v>
      </c>
      <c r="N134" s="5" t="s">
        <v>893</v>
      </c>
      <c r="O134" s="5" t="s">
        <v>840</v>
      </c>
      <c r="P134" s="5" t="s">
        <v>841</v>
      </c>
      <c r="Q134" s="5" t="s">
        <v>372</v>
      </c>
      <c r="R134" s="5" t="s">
        <v>1422</v>
      </c>
      <c r="S134" s="7" t="s">
        <v>1423</v>
      </c>
    </row>
    <row r="135" spans="1:19" ht="44" customHeight="1">
      <c r="A135" s="5" t="s">
        <v>14</v>
      </c>
      <c r="B135" s="5" t="s">
        <v>508</v>
      </c>
      <c r="C135" s="5" t="s">
        <v>434</v>
      </c>
      <c r="D135" s="6">
        <v>138000000</v>
      </c>
      <c r="E135" s="8">
        <v>45751.648611111108</v>
      </c>
      <c r="F135" s="16">
        <v>45768.583333333343</v>
      </c>
      <c r="G135" s="5" t="s">
        <v>27</v>
      </c>
      <c r="H135" s="5" t="s">
        <v>680</v>
      </c>
      <c r="I135" s="5" t="s">
        <v>1037</v>
      </c>
      <c r="J135" s="5" t="s">
        <v>1038</v>
      </c>
      <c r="K135" s="5" t="s">
        <v>113</v>
      </c>
      <c r="L135" s="5" t="s">
        <v>113</v>
      </c>
      <c r="M135" s="5" t="s">
        <v>853</v>
      </c>
      <c r="N135" s="5" t="s">
        <v>893</v>
      </c>
      <c r="O135" s="5" t="s">
        <v>841</v>
      </c>
      <c r="P135" s="5" t="s">
        <v>841</v>
      </c>
      <c r="Q135" s="5" t="s">
        <v>372</v>
      </c>
      <c r="R135" s="5" t="s">
        <v>843</v>
      </c>
      <c r="S135" s="7" t="s">
        <v>509</v>
      </c>
    </row>
    <row r="136" spans="1:19" ht="44" customHeight="1">
      <c r="A136" s="5" t="s">
        <v>14</v>
      </c>
      <c r="B136" s="5" t="s">
        <v>1424</v>
      </c>
      <c r="C136" s="5" t="s">
        <v>402</v>
      </c>
      <c r="D136" s="6">
        <v>390000000</v>
      </c>
      <c r="E136" s="8">
        <v>45754.401388888888</v>
      </c>
      <c r="F136" s="16">
        <v>45765.666666666657</v>
      </c>
      <c r="G136" s="5" t="s">
        <v>27</v>
      </c>
      <c r="H136" s="5" t="s">
        <v>1425</v>
      </c>
      <c r="I136" s="5" t="s">
        <v>1037</v>
      </c>
      <c r="J136" s="5" t="s">
        <v>1038</v>
      </c>
      <c r="K136" s="5" t="s">
        <v>113</v>
      </c>
      <c r="L136" s="5" t="s">
        <v>113</v>
      </c>
      <c r="M136" s="5" t="s">
        <v>853</v>
      </c>
      <c r="N136" s="5" t="s">
        <v>893</v>
      </c>
      <c r="O136" s="5" t="s">
        <v>113</v>
      </c>
      <c r="P136" s="5" t="s">
        <v>841</v>
      </c>
      <c r="Q136" s="5" t="s">
        <v>372</v>
      </c>
      <c r="R136" s="5" t="s">
        <v>843</v>
      </c>
      <c r="S136" s="7" t="s">
        <v>1426</v>
      </c>
    </row>
    <row r="137" spans="1:19" ht="44" customHeight="1">
      <c r="A137" s="5" t="s">
        <v>14</v>
      </c>
      <c r="B137" s="5" t="s">
        <v>682</v>
      </c>
      <c r="C137" s="5" t="s">
        <v>434</v>
      </c>
      <c r="D137" s="6">
        <v>96600000</v>
      </c>
      <c r="E137" s="8">
        <v>45754.407638888893</v>
      </c>
      <c r="F137" s="16">
        <v>45757.708333333343</v>
      </c>
      <c r="G137" s="5" t="s">
        <v>27</v>
      </c>
      <c r="H137" s="5" t="s">
        <v>113</v>
      </c>
      <c r="I137" s="5" t="s">
        <v>1037</v>
      </c>
      <c r="J137" s="5" t="s">
        <v>1038</v>
      </c>
      <c r="K137" s="5" t="s">
        <v>113</v>
      </c>
      <c r="L137" s="5" t="s">
        <v>113</v>
      </c>
      <c r="M137" s="5" t="s">
        <v>853</v>
      </c>
      <c r="N137" s="5" t="s">
        <v>893</v>
      </c>
      <c r="O137" s="5" t="s">
        <v>841</v>
      </c>
      <c r="P137" s="5" t="s">
        <v>841</v>
      </c>
      <c r="Q137" s="5" t="s">
        <v>372</v>
      </c>
      <c r="R137" s="5" t="s">
        <v>843</v>
      </c>
      <c r="S137" s="7" t="s">
        <v>683</v>
      </c>
    </row>
    <row r="138" spans="1:19" ht="44" customHeight="1">
      <c r="A138" s="5" t="s">
        <v>14</v>
      </c>
      <c r="B138" s="5" t="s">
        <v>626</v>
      </c>
      <c r="C138" s="5" t="s">
        <v>415</v>
      </c>
      <c r="D138" s="6">
        <v>82000000</v>
      </c>
      <c r="E138" s="8">
        <v>45754.677083333343</v>
      </c>
      <c r="F138" s="16">
        <v>45768.458333333343</v>
      </c>
      <c r="G138" s="5" t="s">
        <v>27</v>
      </c>
      <c r="H138" s="5" t="s">
        <v>74</v>
      </c>
      <c r="I138" s="5" t="s">
        <v>837</v>
      </c>
      <c r="J138" s="5" t="s">
        <v>838</v>
      </c>
      <c r="K138" s="5" t="s">
        <v>113</v>
      </c>
      <c r="L138" s="5" t="s">
        <v>113</v>
      </c>
      <c r="M138" s="5" t="s">
        <v>99</v>
      </c>
      <c r="N138" s="5" t="s">
        <v>839</v>
      </c>
      <c r="O138" s="5" t="s">
        <v>840</v>
      </c>
      <c r="P138" s="5" t="s">
        <v>841</v>
      </c>
      <c r="Q138" s="5" t="s">
        <v>372</v>
      </c>
      <c r="R138" s="5" t="s">
        <v>843</v>
      </c>
      <c r="S138" s="7" t="s">
        <v>627</v>
      </c>
    </row>
    <row r="139" spans="1:19" ht="44" customHeight="1">
      <c r="A139" s="5" t="s">
        <v>14</v>
      </c>
      <c r="B139" s="5" t="s">
        <v>665</v>
      </c>
      <c r="C139" s="5" t="s">
        <v>409</v>
      </c>
      <c r="D139" s="6">
        <v>39996000</v>
      </c>
      <c r="E139" s="8">
        <v>45758.47152777778</v>
      </c>
      <c r="F139" s="16">
        <v>45772.708333333343</v>
      </c>
      <c r="G139" s="5" t="s">
        <v>27</v>
      </c>
      <c r="H139" s="5" t="s">
        <v>705</v>
      </c>
      <c r="I139" s="5" t="s">
        <v>1037</v>
      </c>
      <c r="J139" s="5" t="s">
        <v>1038</v>
      </c>
      <c r="K139" s="5" t="s">
        <v>113</v>
      </c>
      <c r="L139" s="5" t="s">
        <v>113</v>
      </c>
      <c r="M139" s="5" t="s">
        <v>853</v>
      </c>
      <c r="N139" s="5" t="s">
        <v>839</v>
      </c>
      <c r="O139" s="5" t="s">
        <v>840</v>
      </c>
      <c r="P139" s="5" t="s">
        <v>841</v>
      </c>
      <c r="Q139" s="5" t="s">
        <v>372</v>
      </c>
      <c r="R139" s="5" t="s">
        <v>843</v>
      </c>
      <c r="S139" s="7" t="s">
        <v>666</v>
      </c>
    </row>
    <row r="140" spans="1:19" ht="44" customHeight="1">
      <c r="A140" s="5" t="s">
        <v>14</v>
      </c>
      <c r="B140" s="5" t="s">
        <v>1427</v>
      </c>
      <c r="C140" s="5" t="s">
        <v>614</v>
      </c>
      <c r="D140" s="6">
        <v>159000000</v>
      </c>
      <c r="E140" s="8">
        <v>45761.481249999997</v>
      </c>
      <c r="F140" s="16">
        <v>45772.416666666657</v>
      </c>
      <c r="G140" s="5" t="s">
        <v>27</v>
      </c>
      <c r="H140" s="5" t="s">
        <v>113</v>
      </c>
      <c r="I140" s="5" t="s">
        <v>1037</v>
      </c>
      <c r="J140" s="5" t="s">
        <v>1038</v>
      </c>
      <c r="K140" s="5" t="s">
        <v>113</v>
      </c>
      <c r="L140" s="5" t="s">
        <v>113</v>
      </c>
      <c r="M140" s="5" t="s">
        <v>853</v>
      </c>
      <c r="N140" s="5" t="s">
        <v>839</v>
      </c>
      <c r="O140" s="5" t="s">
        <v>840</v>
      </c>
      <c r="P140" s="5" t="s">
        <v>841</v>
      </c>
      <c r="Q140" s="5" t="s">
        <v>372</v>
      </c>
      <c r="R140" s="5" t="s">
        <v>1428</v>
      </c>
      <c r="S140" s="7" t="s">
        <v>1429</v>
      </c>
    </row>
    <row r="141" spans="1:19" ht="44" customHeight="1">
      <c r="A141" s="5" t="s">
        <v>14</v>
      </c>
      <c r="B141" s="5" t="s">
        <v>1430</v>
      </c>
      <c r="C141" s="5" t="s">
        <v>458</v>
      </c>
      <c r="D141" s="6">
        <v>28000000</v>
      </c>
      <c r="E141" s="8">
        <v>45761.696527777778</v>
      </c>
      <c r="F141" s="16">
        <v>45772.416666666657</v>
      </c>
      <c r="G141" s="5" t="s">
        <v>27</v>
      </c>
      <c r="H141" s="5" t="s">
        <v>113</v>
      </c>
      <c r="I141" s="5" t="s">
        <v>847</v>
      </c>
      <c r="J141" s="5" t="s">
        <v>848</v>
      </c>
      <c r="K141" s="5" t="s">
        <v>868</v>
      </c>
      <c r="L141" s="5" t="s">
        <v>113</v>
      </c>
      <c r="M141" s="5" t="s">
        <v>853</v>
      </c>
      <c r="N141" s="5" t="s">
        <v>839</v>
      </c>
      <c r="O141" s="5" t="s">
        <v>840</v>
      </c>
      <c r="P141" s="5" t="s">
        <v>1359</v>
      </c>
      <c r="Q141" s="5" t="s">
        <v>372</v>
      </c>
      <c r="R141" s="5" t="s">
        <v>843</v>
      </c>
      <c r="S141" s="7" t="s">
        <v>1431</v>
      </c>
    </row>
    <row r="142" spans="1:19" ht="44" customHeight="1">
      <c r="A142" s="5" t="s">
        <v>14</v>
      </c>
      <c r="B142" s="5" t="s">
        <v>1432</v>
      </c>
      <c r="C142" s="5" t="s">
        <v>48</v>
      </c>
      <c r="D142" s="6">
        <v>82000000</v>
      </c>
      <c r="E142" s="8">
        <v>45761.816666666673</v>
      </c>
      <c r="F142" s="16">
        <v>45772.458333333343</v>
      </c>
      <c r="G142" s="5" t="s">
        <v>27</v>
      </c>
      <c r="H142" s="5" t="s">
        <v>1433</v>
      </c>
      <c r="I142" s="14" t="s">
        <v>1040</v>
      </c>
      <c r="J142" s="5" t="s">
        <v>1041</v>
      </c>
      <c r="K142" s="5" t="s">
        <v>875</v>
      </c>
      <c r="L142" s="5" t="s">
        <v>113</v>
      </c>
      <c r="M142" s="5" t="s">
        <v>853</v>
      </c>
      <c r="N142" s="5" t="s">
        <v>839</v>
      </c>
      <c r="O142" s="5" t="s">
        <v>840</v>
      </c>
      <c r="P142" s="5" t="s">
        <v>841</v>
      </c>
      <c r="Q142" s="5" t="s">
        <v>372</v>
      </c>
      <c r="R142" s="5" t="s">
        <v>843</v>
      </c>
      <c r="S142" s="7" t="s">
        <v>1434</v>
      </c>
    </row>
    <row r="143" spans="1:19" ht="44" customHeight="1">
      <c r="A143" s="5" t="s">
        <v>14</v>
      </c>
      <c r="B143" s="5" t="s">
        <v>1435</v>
      </c>
      <c r="C143" s="5" t="s">
        <v>48</v>
      </c>
      <c r="D143" s="6">
        <v>190000000</v>
      </c>
      <c r="E143" s="8">
        <v>45763.375</v>
      </c>
      <c r="F143" s="16">
        <v>45786.458333333343</v>
      </c>
      <c r="G143" s="5" t="s">
        <v>27</v>
      </c>
      <c r="H143" s="5" t="s">
        <v>113</v>
      </c>
      <c r="I143" s="5" t="s">
        <v>1037</v>
      </c>
      <c r="J143" s="5" t="s">
        <v>1038</v>
      </c>
      <c r="K143" s="5" t="s">
        <v>113</v>
      </c>
      <c r="L143" s="5" t="s">
        <v>113</v>
      </c>
      <c r="M143" s="5" t="s">
        <v>853</v>
      </c>
      <c r="N143" s="5" t="s">
        <v>893</v>
      </c>
      <c r="O143" s="5" t="s">
        <v>840</v>
      </c>
      <c r="P143" s="5" t="s">
        <v>841</v>
      </c>
      <c r="Q143" s="5" t="s">
        <v>372</v>
      </c>
      <c r="R143" s="5" t="s">
        <v>843</v>
      </c>
      <c r="S143" s="7" t="s">
        <v>1436</v>
      </c>
    </row>
    <row r="144" spans="1:19" ht="44" customHeight="1">
      <c r="A144" s="5" t="s">
        <v>14</v>
      </c>
      <c r="B144" s="5" t="s">
        <v>411</v>
      </c>
      <c r="C144" s="5" t="s">
        <v>412</v>
      </c>
      <c r="D144" s="6">
        <v>250000000</v>
      </c>
      <c r="E144" s="8">
        <v>45763.818749999999</v>
      </c>
      <c r="F144" s="16">
        <v>45776.625</v>
      </c>
      <c r="G144" s="5" t="s">
        <v>27</v>
      </c>
      <c r="H144" s="5" t="s">
        <v>1018</v>
      </c>
      <c r="I144" s="5" t="s">
        <v>847</v>
      </c>
      <c r="J144" s="5" t="s">
        <v>848</v>
      </c>
      <c r="K144" s="5" t="s">
        <v>113</v>
      </c>
      <c r="L144" s="5" t="s">
        <v>872</v>
      </c>
      <c r="M144" s="5" t="s">
        <v>853</v>
      </c>
      <c r="N144" s="5" t="s">
        <v>839</v>
      </c>
      <c r="O144" s="5" t="s">
        <v>840</v>
      </c>
      <c r="P144" s="5" t="s">
        <v>841</v>
      </c>
      <c r="Q144" s="5" t="s">
        <v>372</v>
      </c>
      <c r="R144" s="5" t="s">
        <v>843</v>
      </c>
      <c r="S144" s="7" t="s">
        <v>413</v>
      </c>
    </row>
    <row r="145" spans="1:19" ht="44" customHeight="1">
      <c r="A145" s="5" t="s">
        <v>14</v>
      </c>
      <c r="B145" s="5" t="s">
        <v>1437</v>
      </c>
      <c r="C145" s="5" t="s">
        <v>1103</v>
      </c>
      <c r="D145" s="6">
        <v>36600000</v>
      </c>
      <c r="E145" s="8">
        <v>45765.614583333343</v>
      </c>
      <c r="F145" s="16">
        <v>45771.416666666657</v>
      </c>
      <c r="G145" s="5" t="s">
        <v>27</v>
      </c>
      <c r="H145" s="5" t="s">
        <v>113</v>
      </c>
      <c r="I145" s="5" t="s">
        <v>1037</v>
      </c>
      <c r="J145" s="5" t="s">
        <v>1038</v>
      </c>
      <c r="K145" s="5" t="s">
        <v>113</v>
      </c>
      <c r="L145" s="5" t="s">
        <v>113</v>
      </c>
      <c r="M145" s="5" t="s">
        <v>853</v>
      </c>
      <c r="N145" s="5" t="s">
        <v>839</v>
      </c>
      <c r="O145" s="5" t="s">
        <v>841</v>
      </c>
      <c r="P145" s="5" t="s">
        <v>841</v>
      </c>
      <c r="Q145" s="5" t="s">
        <v>372</v>
      </c>
      <c r="R145" s="5" t="s">
        <v>843</v>
      </c>
      <c r="S145" s="7" t="s">
        <v>1438</v>
      </c>
    </row>
    <row r="146" spans="1:19" ht="44" customHeight="1">
      <c r="A146" s="5" t="s">
        <v>14</v>
      </c>
      <c r="B146" s="5" t="s">
        <v>408</v>
      </c>
      <c r="C146" s="5" t="s">
        <v>409</v>
      </c>
      <c r="D146" s="6">
        <v>199901000</v>
      </c>
      <c r="E146" s="8">
        <v>45768.42083333333</v>
      </c>
      <c r="F146" s="16">
        <v>45791.666666666657</v>
      </c>
      <c r="G146" s="5" t="s">
        <v>27</v>
      </c>
      <c r="H146" s="5" t="s">
        <v>68</v>
      </c>
      <c r="I146" s="5" t="s">
        <v>1037</v>
      </c>
      <c r="J146" s="5" t="s">
        <v>1038</v>
      </c>
      <c r="K146" s="5" t="s">
        <v>113</v>
      </c>
      <c r="L146" s="5" t="s">
        <v>113</v>
      </c>
      <c r="M146" s="5" t="s">
        <v>113</v>
      </c>
      <c r="N146" s="5" t="s">
        <v>839</v>
      </c>
      <c r="O146" s="5" t="s">
        <v>113</v>
      </c>
      <c r="P146" s="5" t="s">
        <v>841</v>
      </c>
      <c r="Q146" s="5" t="s">
        <v>372</v>
      </c>
      <c r="R146" s="5" t="s">
        <v>874</v>
      </c>
      <c r="S146" s="7" t="s">
        <v>410</v>
      </c>
    </row>
    <row r="147" spans="1:19" ht="44" customHeight="1">
      <c r="A147" s="5" t="s">
        <v>14</v>
      </c>
      <c r="B147" s="5" t="s">
        <v>1430</v>
      </c>
      <c r="C147" s="5" t="s">
        <v>458</v>
      </c>
      <c r="D147" s="6">
        <v>28000000</v>
      </c>
      <c r="E147" s="8">
        <v>45772.718055555553</v>
      </c>
      <c r="F147" s="16">
        <v>45790.416666666657</v>
      </c>
      <c r="G147" s="5" t="s">
        <v>27</v>
      </c>
      <c r="H147" s="5" t="s">
        <v>113</v>
      </c>
      <c r="I147" s="5" t="s">
        <v>847</v>
      </c>
      <c r="J147" s="5" t="s">
        <v>848</v>
      </c>
      <c r="K147" s="5" t="s">
        <v>868</v>
      </c>
      <c r="L147" s="5" t="s">
        <v>113</v>
      </c>
      <c r="M147" s="5" t="s">
        <v>853</v>
      </c>
      <c r="N147" s="5" t="s">
        <v>839</v>
      </c>
      <c r="O147" s="5" t="s">
        <v>840</v>
      </c>
      <c r="P147" s="5" t="s">
        <v>1359</v>
      </c>
      <c r="Q147" s="5" t="s">
        <v>372</v>
      </c>
      <c r="R147" s="5" t="s">
        <v>843</v>
      </c>
      <c r="S147" s="7" t="s">
        <v>1439</v>
      </c>
    </row>
    <row r="148" spans="1:19" ht="44" customHeight="1">
      <c r="A148" s="5" t="s">
        <v>14</v>
      </c>
      <c r="B148" s="5" t="s">
        <v>1440</v>
      </c>
      <c r="C148" s="5" t="s">
        <v>365</v>
      </c>
      <c r="D148" s="6">
        <v>760000000</v>
      </c>
      <c r="E148" s="8">
        <v>45775.404861111107</v>
      </c>
      <c r="F148" s="16">
        <v>45789.666666666657</v>
      </c>
      <c r="G148" s="5" t="s">
        <v>27</v>
      </c>
      <c r="H148" s="5" t="s">
        <v>1441</v>
      </c>
      <c r="I148" s="5" t="s">
        <v>847</v>
      </c>
      <c r="J148" s="5" t="s">
        <v>848</v>
      </c>
      <c r="K148" s="5" t="s">
        <v>868</v>
      </c>
      <c r="L148" s="5" t="s">
        <v>113</v>
      </c>
      <c r="M148" s="5" t="s">
        <v>853</v>
      </c>
      <c r="N148" s="5" t="s">
        <v>893</v>
      </c>
      <c r="O148" s="5" t="s">
        <v>840</v>
      </c>
      <c r="P148" s="5" t="s">
        <v>841</v>
      </c>
      <c r="Q148" s="5" t="s">
        <v>372</v>
      </c>
      <c r="R148" s="5" t="s">
        <v>843</v>
      </c>
      <c r="S148" s="7" t="s">
        <v>1442</v>
      </c>
    </row>
    <row r="149" spans="1:19" ht="44" customHeight="1">
      <c r="A149" s="5" t="s">
        <v>14</v>
      </c>
      <c r="B149" s="5" t="s">
        <v>404</v>
      </c>
      <c r="C149" s="5" t="s">
        <v>365</v>
      </c>
      <c r="D149" s="6">
        <v>396000000</v>
      </c>
      <c r="E149" s="8">
        <v>45775.44027777778</v>
      </c>
      <c r="F149" s="16">
        <v>45790.666666666657</v>
      </c>
      <c r="G149" s="5" t="s">
        <v>27</v>
      </c>
      <c r="H149" s="5" t="s">
        <v>694</v>
      </c>
      <c r="I149" s="5" t="s">
        <v>847</v>
      </c>
      <c r="J149" s="5" t="s">
        <v>848</v>
      </c>
      <c r="K149" s="5" t="s">
        <v>868</v>
      </c>
      <c r="L149" s="5" t="s">
        <v>113</v>
      </c>
      <c r="M149" s="5" t="s">
        <v>853</v>
      </c>
      <c r="N149" s="5" t="s">
        <v>893</v>
      </c>
      <c r="O149" s="5" t="s">
        <v>840</v>
      </c>
      <c r="P149" s="5" t="s">
        <v>841</v>
      </c>
      <c r="Q149" s="5" t="s">
        <v>372</v>
      </c>
      <c r="R149" s="5" t="s">
        <v>843</v>
      </c>
      <c r="S149" s="7" t="s">
        <v>405</v>
      </c>
    </row>
    <row r="150" spans="1:19" ht="44" customHeight="1">
      <c r="A150" s="5" t="s">
        <v>14</v>
      </c>
      <c r="B150" s="5" t="s">
        <v>506</v>
      </c>
      <c r="C150" s="5" t="s">
        <v>48</v>
      </c>
      <c r="D150" s="6">
        <v>200000000</v>
      </c>
      <c r="E150" s="8">
        <v>45775.740972222222</v>
      </c>
      <c r="F150" s="16">
        <v>45796.458333333343</v>
      </c>
      <c r="G150" s="5" t="s">
        <v>27</v>
      </c>
      <c r="H150" s="5" t="s">
        <v>805</v>
      </c>
      <c r="I150" s="5" t="s">
        <v>1037</v>
      </c>
      <c r="J150" s="5" t="s">
        <v>1038</v>
      </c>
      <c r="K150" s="5" t="s">
        <v>113</v>
      </c>
      <c r="L150" s="5" t="s">
        <v>113</v>
      </c>
      <c r="M150" s="5" t="s">
        <v>853</v>
      </c>
      <c r="N150" s="5" t="s">
        <v>839</v>
      </c>
      <c r="O150" s="5" t="s">
        <v>840</v>
      </c>
      <c r="P150" s="5" t="s">
        <v>841</v>
      </c>
      <c r="Q150" s="5" t="s">
        <v>372</v>
      </c>
      <c r="R150" s="5" t="s">
        <v>843</v>
      </c>
      <c r="S150" s="7" t="s">
        <v>507</v>
      </c>
    </row>
    <row r="151" spans="1:19" ht="44" customHeight="1">
      <c r="A151" s="5" t="s">
        <v>14</v>
      </c>
      <c r="B151" s="5" t="s">
        <v>589</v>
      </c>
      <c r="C151" s="5" t="s">
        <v>577</v>
      </c>
      <c r="D151" s="6">
        <v>110000000</v>
      </c>
      <c r="E151" s="8">
        <v>45784.394444444442</v>
      </c>
      <c r="F151" s="16" t="s">
        <v>113</v>
      </c>
      <c r="G151" s="5" t="s">
        <v>27</v>
      </c>
      <c r="H151" s="5" t="s">
        <v>747</v>
      </c>
      <c r="I151" s="14" t="s">
        <v>1040</v>
      </c>
      <c r="J151" s="5" t="s">
        <v>1041</v>
      </c>
      <c r="K151" s="5" t="s">
        <v>875</v>
      </c>
      <c r="L151" s="5" t="s">
        <v>113</v>
      </c>
      <c r="M151" s="5" t="s">
        <v>113</v>
      </c>
      <c r="N151" s="5" t="s">
        <v>839</v>
      </c>
      <c r="O151" s="5" t="s">
        <v>113</v>
      </c>
      <c r="P151" s="5" t="s">
        <v>841</v>
      </c>
      <c r="Q151" s="5" t="s">
        <v>372</v>
      </c>
      <c r="R151" s="5" t="s">
        <v>874</v>
      </c>
      <c r="S151" s="7" t="s">
        <v>590</v>
      </c>
    </row>
    <row r="152" spans="1:19" ht="44" customHeight="1">
      <c r="A152" s="5" t="s">
        <v>14</v>
      </c>
      <c r="B152" s="5" t="s">
        <v>503</v>
      </c>
      <c r="C152" s="5" t="s">
        <v>504</v>
      </c>
      <c r="D152" s="6">
        <v>430000000</v>
      </c>
      <c r="E152" s="8">
        <v>45792.703472222223</v>
      </c>
      <c r="F152" s="16">
        <v>45812.416666666657</v>
      </c>
      <c r="G152" s="5" t="s">
        <v>27</v>
      </c>
      <c r="H152" s="5" t="s">
        <v>68</v>
      </c>
      <c r="I152" s="5" t="s">
        <v>847</v>
      </c>
      <c r="J152" s="5" t="s">
        <v>848</v>
      </c>
      <c r="K152" s="5" t="s">
        <v>868</v>
      </c>
      <c r="L152" s="5" t="s">
        <v>113</v>
      </c>
      <c r="M152" s="5" t="s">
        <v>853</v>
      </c>
      <c r="N152" s="5" t="s">
        <v>839</v>
      </c>
      <c r="O152" s="5" t="s">
        <v>841</v>
      </c>
      <c r="P152" s="5" t="s">
        <v>841</v>
      </c>
      <c r="Q152" s="5" t="s">
        <v>372</v>
      </c>
      <c r="R152" s="5" t="s">
        <v>843</v>
      </c>
      <c r="S152" s="7" t="s">
        <v>505</v>
      </c>
    </row>
    <row r="153" spans="1:19" ht="44" customHeight="1">
      <c r="A153" s="5" t="s">
        <v>14</v>
      </c>
      <c r="B153" s="5" t="s">
        <v>659</v>
      </c>
      <c r="C153" s="5" t="s">
        <v>48</v>
      </c>
      <c r="D153" s="6">
        <v>200000000</v>
      </c>
      <c r="E153" s="8">
        <v>45798.877083333333</v>
      </c>
      <c r="F153" s="16">
        <v>45819.458333333343</v>
      </c>
      <c r="G153" s="5" t="s">
        <v>27</v>
      </c>
      <c r="H153" s="5" t="s">
        <v>656</v>
      </c>
      <c r="I153" s="5" t="s">
        <v>1037</v>
      </c>
      <c r="J153" s="5" t="s">
        <v>1038</v>
      </c>
      <c r="K153" s="5" t="s">
        <v>113</v>
      </c>
      <c r="L153" s="5" t="s">
        <v>113</v>
      </c>
      <c r="M153" s="5" t="s">
        <v>853</v>
      </c>
      <c r="N153" s="5" t="s">
        <v>839</v>
      </c>
      <c r="O153" s="5" t="s">
        <v>840</v>
      </c>
      <c r="P153" s="5" t="s">
        <v>841</v>
      </c>
      <c r="Q153" s="5" t="s">
        <v>372</v>
      </c>
      <c r="R153" s="5" t="s">
        <v>843</v>
      </c>
      <c r="S153" s="7" t="s">
        <v>660</v>
      </c>
    </row>
    <row r="154" spans="1:19" ht="44" customHeight="1">
      <c r="A154" s="5" t="s">
        <v>14</v>
      </c>
      <c r="B154" s="5" t="s">
        <v>800</v>
      </c>
      <c r="C154" s="5" t="s">
        <v>472</v>
      </c>
      <c r="D154" s="6">
        <v>95000000</v>
      </c>
      <c r="E154" s="8">
        <v>45803.42083333333</v>
      </c>
      <c r="F154" s="16">
        <v>45817.5</v>
      </c>
      <c r="G154" s="5" t="s">
        <v>27</v>
      </c>
      <c r="H154" s="5" t="s">
        <v>793</v>
      </c>
      <c r="I154" s="14" t="s">
        <v>1040</v>
      </c>
      <c r="J154" s="5" t="s">
        <v>1041</v>
      </c>
      <c r="K154" s="5" t="s">
        <v>875</v>
      </c>
      <c r="L154" s="5" t="s">
        <v>113</v>
      </c>
      <c r="M154" s="5" t="s">
        <v>853</v>
      </c>
      <c r="N154" s="5" t="s">
        <v>893</v>
      </c>
      <c r="O154" s="5" t="s">
        <v>840</v>
      </c>
      <c r="P154" s="5" t="s">
        <v>841</v>
      </c>
      <c r="Q154" s="5" t="s">
        <v>372</v>
      </c>
      <c r="R154" s="5" t="s">
        <v>843</v>
      </c>
      <c r="S154" s="7" t="s">
        <v>801</v>
      </c>
    </row>
    <row r="155" spans="1:19" ht="44" customHeight="1">
      <c r="A155" s="5" t="s">
        <v>14</v>
      </c>
      <c r="B155" s="5" t="s">
        <v>401</v>
      </c>
      <c r="C155" s="5" t="s">
        <v>402</v>
      </c>
      <c r="D155" s="6">
        <v>150000000</v>
      </c>
      <c r="E155" s="8">
        <v>45803.455555555563</v>
      </c>
      <c r="F155" s="16">
        <v>45824.666666666657</v>
      </c>
      <c r="G155" s="5" t="s">
        <v>27</v>
      </c>
      <c r="H155" s="5" t="s">
        <v>64</v>
      </c>
      <c r="I155" s="14" t="s">
        <v>1040</v>
      </c>
      <c r="J155" s="5" t="s">
        <v>1041</v>
      </c>
      <c r="K155" s="5" t="s">
        <v>113</v>
      </c>
      <c r="L155" s="5" t="s">
        <v>113</v>
      </c>
      <c r="M155" s="5" t="s">
        <v>853</v>
      </c>
      <c r="N155" s="5" t="s">
        <v>839</v>
      </c>
      <c r="O155" s="5" t="s">
        <v>840</v>
      </c>
      <c r="P155" s="5" t="s">
        <v>841</v>
      </c>
      <c r="Q155" s="5" t="s">
        <v>372</v>
      </c>
      <c r="R155" s="5" t="s">
        <v>1443</v>
      </c>
      <c r="S155" s="7" t="s">
        <v>403</v>
      </c>
    </row>
    <row r="156" spans="1:19" ht="44" customHeight="1">
      <c r="A156" s="5" t="s">
        <v>14</v>
      </c>
      <c r="B156" s="5" t="s">
        <v>624</v>
      </c>
      <c r="C156" s="5" t="s">
        <v>614</v>
      </c>
      <c r="D156" s="6">
        <v>100000000</v>
      </c>
      <c r="E156" s="8">
        <v>45803.603472222218</v>
      </c>
      <c r="F156" s="16">
        <v>45817.416666666657</v>
      </c>
      <c r="G156" s="5" t="s">
        <v>27</v>
      </c>
      <c r="H156" s="5" t="s">
        <v>74</v>
      </c>
      <c r="I156" s="5" t="s">
        <v>1037</v>
      </c>
      <c r="J156" s="5" t="s">
        <v>1038</v>
      </c>
      <c r="K156" s="5" t="s">
        <v>113</v>
      </c>
      <c r="L156" s="5" t="s">
        <v>113</v>
      </c>
      <c r="M156" s="5" t="s">
        <v>113</v>
      </c>
      <c r="N156" s="5" t="s">
        <v>839</v>
      </c>
      <c r="O156" s="5" t="s">
        <v>113</v>
      </c>
      <c r="P156" s="5" t="s">
        <v>841</v>
      </c>
      <c r="Q156" s="5" t="s">
        <v>372</v>
      </c>
      <c r="R156" s="5" t="s">
        <v>874</v>
      </c>
      <c r="S156" s="7" t="s">
        <v>625</v>
      </c>
    </row>
    <row r="157" spans="1:19" ht="44" customHeight="1">
      <c r="A157" s="5" t="s">
        <v>14</v>
      </c>
      <c r="B157" s="5" t="s">
        <v>636</v>
      </c>
      <c r="C157" s="5" t="s">
        <v>637</v>
      </c>
      <c r="D157" s="6">
        <v>77000000</v>
      </c>
      <c r="E157" s="8">
        <v>45804.383333333331</v>
      </c>
      <c r="F157" s="16" t="s">
        <v>113</v>
      </c>
      <c r="G157" s="5" t="s">
        <v>27</v>
      </c>
      <c r="H157" s="5" t="s">
        <v>1444</v>
      </c>
      <c r="I157" s="14" t="s">
        <v>1040</v>
      </c>
      <c r="J157" s="5" t="s">
        <v>1041</v>
      </c>
      <c r="K157" s="5" t="s">
        <v>875</v>
      </c>
      <c r="L157" s="5" t="s">
        <v>113</v>
      </c>
      <c r="M157" s="5" t="s">
        <v>113</v>
      </c>
      <c r="N157" s="5" t="s">
        <v>839</v>
      </c>
      <c r="O157" s="5" t="s">
        <v>113</v>
      </c>
      <c r="P157" s="5" t="s">
        <v>873</v>
      </c>
      <c r="Q157" s="5" t="s">
        <v>372</v>
      </c>
      <c r="R157" s="5" t="s">
        <v>874</v>
      </c>
      <c r="S157" s="7" t="s">
        <v>638</v>
      </c>
    </row>
    <row r="158" spans="1:19" ht="44" customHeight="1">
      <c r="A158" s="5" t="s">
        <v>14</v>
      </c>
      <c r="B158" s="5" t="s">
        <v>398</v>
      </c>
      <c r="C158" s="5" t="s">
        <v>399</v>
      </c>
      <c r="D158" s="6">
        <v>110000000</v>
      </c>
      <c r="E158" s="8">
        <v>45812.573611111111</v>
      </c>
      <c r="F158" s="16">
        <v>45833.416666666657</v>
      </c>
      <c r="G158" s="5" t="s">
        <v>27</v>
      </c>
      <c r="H158" s="5" t="s">
        <v>74</v>
      </c>
      <c r="I158" s="5" t="s">
        <v>1037</v>
      </c>
      <c r="J158" s="5" t="s">
        <v>1038</v>
      </c>
      <c r="K158" s="5" t="s">
        <v>113</v>
      </c>
      <c r="L158" s="5" t="s">
        <v>113</v>
      </c>
      <c r="M158" s="5" t="s">
        <v>853</v>
      </c>
      <c r="N158" s="5" t="s">
        <v>839</v>
      </c>
      <c r="O158" s="5" t="s">
        <v>841</v>
      </c>
      <c r="P158" s="5" t="s">
        <v>841</v>
      </c>
      <c r="Q158" s="5" t="s">
        <v>372</v>
      </c>
      <c r="R158" s="5" t="s">
        <v>843</v>
      </c>
      <c r="S158" s="7" t="s">
        <v>400</v>
      </c>
    </row>
    <row r="159" spans="1:19" ht="44" customHeight="1">
      <c r="A159" s="5" t="s">
        <v>14</v>
      </c>
      <c r="B159" s="5" t="s">
        <v>1445</v>
      </c>
      <c r="C159" s="5" t="s">
        <v>48</v>
      </c>
      <c r="D159" s="6">
        <v>100000000</v>
      </c>
      <c r="E159" s="8">
        <v>45812.796527777777</v>
      </c>
      <c r="F159" s="16">
        <v>45824.458333333343</v>
      </c>
      <c r="G159" s="5" t="s">
        <v>27</v>
      </c>
      <c r="H159" s="5" t="s">
        <v>1446</v>
      </c>
      <c r="I159" s="5" t="s">
        <v>1037</v>
      </c>
      <c r="J159" s="5" t="s">
        <v>1038</v>
      </c>
      <c r="K159" s="5" t="s">
        <v>113</v>
      </c>
      <c r="L159" s="5" t="s">
        <v>113</v>
      </c>
      <c r="M159" s="5" t="s">
        <v>853</v>
      </c>
      <c r="N159" s="5" t="s">
        <v>839</v>
      </c>
      <c r="O159" s="5" t="s">
        <v>840</v>
      </c>
      <c r="P159" s="5" t="s">
        <v>841</v>
      </c>
      <c r="Q159" s="5" t="s">
        <v>372</v>
      </c>
      <c r="R159" s="5" t="s">
        <v>843</v>
      </c>
      <c r="S159" s="7" t="s">
        <v>1447</v>
      </c>
    </row>
    <row r="160" spans="1:19" ht="44" customHeight="1">
      <c r="A160" s="5" t="s">
        <v>14</v>
      </c>
      <c r="B160" s="5" t="s">
        <v>498</v>
      </c>
      <c r="C160" s="5" t="s">
        <v>499</v>
      </c>
      <c r="D160" s="6">
        <v>79737000</v>
      </c>
      <c r="E160" s="8">
        <v>45817.577777777777</v>
      </c>
      <c r="F160" s="16">
        <v>45828.583333333343</v>
      </c>
      <c r="G160" s="5" t="s">
        <v>27</v>
      </c>
      <c r="H160" s="5" t="s">
        <v>68</v>
      </c>
      <c r="I160" s="14" t="s">
        <v>1040</v>
      </c>
      <c r="J160" s="5" t="s">
        <v>1041</v>
      </c>
      <c r="K160" s="5" t="s">
        <v>875</v>
      </c>
      <c r="L160" s="5" t="s">
        <v>113</v>
      </c>
      <c r="M160" s="5" t="s">
        <v>853</v>
      </c>
      <c r="N160" s="5" t="s">
        <v>839</v>
      </c>
      <c r="O160" s="5" t="s">
        <v>841</v>
      </c>
      <c r="P160" s="5" t="s">
        <v>841</v>
      </c>
      <c r="Q160" s="5" t="s">
        <v>372</v>
      </c>
      <c r="R160" s="5" t="s">
        <v>1448</v>
      </c>
      <c r="S160" s="7" t="s">
        <v>500</v>
      </c>
    </row>
    <row r="161" spans="1:19" ht="44" customHeight="1">
      <c r="A161" s="5" t="s">
        <v>14</v>
      </c>
      <c r="B161" s="5" t="s">
        <v>395</v>
      </c>
      <c r="C161" s="5" t="s">
        <v>396</v>
      </c>
      <c r="D161" s="6">
        <v>700000000</v>
      </c>
      <c r="E161" s="8">
        <v>45824.792361111111</v>
      </c>
      <c r="F161" s="16" t="s">
        <v>113</v>
      </c>
      <c r="G161" s="5" t="s">
        <v>27</v>
      </c>
      <c r="H161" s="5" t="s">
        <v>64</v>
      </c>
      <c r="I161" s="14" t="s">
        <v>1040</v>
      </c>
      <c r="J161" s="5" t="s">
        <v>1041</v>
      </c>
      <c r="K161" s="5" t="s">
        <v>875</v>
      </c>
      <c r="L161" s="5" t="s">
        <v>113</v>
      </c>
      <c r="M161" s="5" t="s">
        <v>113</v>
      </c>
      <c r="N161" s="5" t="s">
        <v>893</v>
      </c>
      <c r="O161" s="5" t="s">
        <v>113</v>
      </c>
      <c r="P161" s="5" t="s">
        <v>841</v>
      </c>
      <c r="Q161" s="5" t="s">
        <v>372</v>
      </c>
      <c r="R161" s="5" t="s">
        <v>874</v>
      </c>
      <c r="S161" s="7" t="s">
        <v>397</v>
      </c>
    </row>
    <row r="162" spans="1:19" ht="44" customHeight="1">
      <c r="A162" s="5" t="s">
        <v>14</v>
      </c>
      <c r="B162" s="5" t="s">
        <v>1449</v>
      </c>
      <c r="C162" s="5" t="s">
        <v>1071</v>
      </c>
      <c r="D162" s="6">
        <v>70000000</v>
      </c>
      <c r="E162" s="8">
        <v>45827.699305555558</v>
      </c>
      <c r="F162" s="16" t="s">
        <v>113</v>
      </c>
      <c r="G162" s="5" t="s">
        <v>27</v>
      </c>
      <c r="H162" s="5" t="s">
        <v>1072</v>
      </c>
      <c r="I162" s="14" t="s">
        <v>1040</v>
      </c>
      <c r="J162" s="5" t="s">
        <v>1041</v>
      </c>
      <c r="K162" s="5" t="s">
        <v>1450</v>
      </c>
      <c r="L162" s="5" t="s">
        <v>113</v>
      </c>
      <c r="M162" s="5" t="s">
        <v>113</v>
      </c>
      <c r="N162" s="5" t="s">
        <v>839</v>
      </c>
      <c r="O162" s="5" t="s">
        <v>113</v>
      </c>
      <c r="P162" s="5" t="s">
        <v>841</v>
      </c>
      <c r="Q162" s="5" t="s">
        <v>372</v>
      </c>
      <c r="R162" s="5" t="s">
        <v>874</v>
      </c>
      <c r="S162" s="7" t="s">
        <v>1451</v>
      </c>
    </row>
    <row r="163" spans="1:19" ht="44" customHeight="1">
      <c r="A163" s="5" t="s">
        <v>14</v>
      </c>
      <c r="B163" s="5" t="s">
        <v>1452</v>
      </c>
      <c r="C163" s="5" t="s">
        <v>48</v>
      </c>
      <c r="D163" s="6">
        <v>100000000</v>
      </c>
      <c r="E163" s="8">
        <v>45831.765972222223</v>
      </c>
      <c r="F163" s="16">
        <v>45842.458333333343</v>
      </c>
      <c r="G163" s="5" t="s">
        <v>27</v>
      </c>
      <c r="H163" s="5" t="s">
        <v>1453</v>
      </c>
      <c r="I163" s="5" t="s">
        <v>1037</v>
      </c>
      <c r="J163" s="5" t="s">
        <v>1038</v>
      </c>
      <c r="K163" s="5" t="s">
        <v>113</v>
      </c>
      <c r="L163" s="5" t="s">
        <v>113</v>
      </c>
      <c r="M163" s="5" t="s">
        <v>853</v>
      </c>
      <c r="N163" s="5" t="s">
        <v>839</v>
      </c>
      <c r="O163" s="5" t="s">
        <v>840</v>
      </c>
      <c r="P163" s="5" t="s">
        <v>841</v>
      </c>
      <c r="Q163" s="5" t="s">
        <v>372</v>
      </c>
      <c r="R163" s="5" t="s">
        <v>843</v>
      </c>
      <c r="S163" s="7" t="s">
        <v>1454</v>
      </c>
    </row>
    <row r="164" spans="1:19" ht="44" customHeight="1">
      <c r="A164" s="5" t="s">
        <v>14</v>
      </c>
      <c r="B164" s="5" t="s">
        <v>548</v>
      </c>
      <c r="C164" s="5" t="s">
        <v>549</v>
      </c>
      <c r="D164" s="6">
        <v>100000000</v>
      </c>
      <c r="E164" s="8">
        <v>45832.457638888889</v>
      </c>
      <c r="F164" s="16">
        <v>45853.625</v>
      </c>
      <c r="G164" s="5" t="s">
        <v>27</v>
      </c>
      <c r="H164" s="5" t="s">
        <v>70</v>
      </c>
      <c r="I164" s="5" t="s">
        <v>1037</v>
      </c>
      <c r="J164" s="5" t="s">
        <v>1038</v>
      </c>
      <c r="K164" s="5" t="s">
        <v>113</v>
      </c>
      <c r="L164" s="5" t="s">
        <v>113</v>
      </c>
      <c r="M164" s="5" t="s">
        <v>853</v>
      </c>
      <c r="N164" s="5" t="s">
        <v>839</v>
      </c>
      <c r="O164" s="5" t="s">
        <v>840</v>
      </c>
      <c r="P164" s="5" t="s">
        <v>841</v>
      </c>
      <c r="Q164" s="5" t="s">
        <v>372</v>
      </c>
      <c r="R164" s="5" t="s">
        <v>843</v>
      </c>
      <c r="S164" s="7" t="s">
        <v>550</v>
      </c>
    </row>
    <row r="165" spans="1:19" ht="44" customHeight="1">
      <c r="A165" s="5" t="s">
        <v>14</v>
      </c>
      <c r="B165" s="5" t="s">
        <v>754</v>
      </c>
      <c r="C165" s="5" t="s">
        <v>48</v>
      </c>
      <c r="D165" s="6">
        <v>200000000</v>
      </c>
      <c r="E165" s="8">
        <v>45833.84652777778</v>
      </c>
      <c r="F165" s="16">
        <v>45854.458333333343</v>
      </c>
      <c r="G165" s="5" t="s">
        <v>27</v>
      </c>
      <c r="H165" s="5" t="s">
        <v>747</v>
      </c>
      <c r="I165" s="14" t="s">
        <v>1040</v>
      </c>
      <c r="J165" s="5" t="s">
        <v>1041</v>
      </c>
      <c r="K165" s="5" t="s">
        <v>875</v>
      </c>
      <c r="L165" s="5" t="s">
        <v>113</v>
      </c>
      <c r="M165" s="5" t="s">
        <v>853</v>
      </c>
      <c r="N165" s="5" t="s">
        <v>839</v>
      </c>
      <c r="O165" s="5" t="s">
        <v>840</v>
      </c>
      <c r="P165" s="5" t="s">
        <v>841</v>
      </c>
      <c r="Q165" s="5" t="s">
        <v>372</v>
      </c>
      <c r="R165" s="5" t="s">
        <v>843</v>
      </c>
      <c r="S165" s="7" t="s">
        <v>755</v>
      </c>
    </row>
    <row r="166" spans="1:19" ht="44" customHeight="1">
      <c r="A166" s="5" t="s">
        <v>14</v>
      </c>
      <c r="B166" s="5" t="s">
        <v>1455</v>
      </c>
      <c r="C166" s="5" t="s">
        <v>1456</v>
      </c>
      <c r="D166" s="6">
        <v>99000000</v>
      </c>
      <c r="E166" s="8">
        <v>45849.388194444437</v>
      </c>
      <c r="F166" s="16">
        <v>45860.666666666657</v>
      </c>
      <c r="G166" s="5" t="s">
        <v>27</v>
      </c>
      <c r="H166" s="5" t="s">
        <v>113</v>
      </c>
      <c r="I166" s="14" t="s">
        <v>1040</v>
      </c>
      <c r="J166" s="5" t="s">
        <v>1041</v>
      </c>
      <c r="K166" s="5" t="s">
        <v>875</v>
      </c>
      <c r="L166" s="5" t="s">
        <v>113</v>
      </c>
      <c r="M166" s="5" t="s">
        <v>113</v>
      </c>
      <c r="N166" s="5" t="s">
        <v>839</v>
      </c>
      <c r="O166" s="5" t="s">
        <v>113</v>
      </c>
      <c r="P166" s="5" t="s">
        <v>841</v>
      </c>
      <c r="Q166" s="5" t="s">
        <v>372</v>
      </c>
      <c r="R166" s="5" t="s">
        <v>874</v>
      </c>
      <c r="S166" s="7" t="s">
        <v>1457</v>
      </c>
    </row>
    <row r="167" spans="1:19" ht="44" customHeight="1">
      <c r="A167" s="5" t="s">
        <v>14</v>
      </c>
      <c r="B167" s="5" t="s">
        <v>1458</v>
      </c>
      <c r="C167" s="5" t="s">
        <v>434</v>
      </c>
      <c r="D167" s="6">
        <v>78500000</v>
      </c>
      <c r="E167" s="8">
        <v>45852.453472222223</v>
      </c>
      <c r="F167" s="16">
        <v>45859.708333333343</v>
      </c>
      <c r="G167" s="5" t="s">
        <v>27</v>
      </c>
      <c r="H167" s="5" t="s">
        <v>113</v>
      </c>
      <c r="I167" s="5" t="s">
        <v>1037</v>
      </c>
      <c r="J167" s="5" t="s">
        <v>1038</v>
      </c>
      <c r="K167" s="5" t="s">
        <v>113</v>
      </c>
      <c r="L167" s="5" t="s">
        <v>113</v>
      </c>
      <c r="M167" s="5" t="s">
        <v>853</v>
      </c>
      <c r="N167" s="5" t="s">
        <v>893</v>
      </c>
      <c r="O167" s="5" t="s">
        <v>841</v>
      </c>
      <c r="P167" s="5" t="s">
        <v>841</v>
      </c>
      <c r="Q167" s="5" t="s">
        <v>372</v>
      </c>
      <c r="R167" s="5" t="s">
        <v>843</v>
      </c>
      <c r="S167" s="7" t="s">
        <v>1459</v>
      </c>
    </row>
    <row r="168" spans="1:19" ht="44" customHeight="1">
      <c r="A168" s="5" t="s">
        <v>14</v>
      </c>
      <c r="B168" s="5" t="s">
        <v>1458</v>
      </c>
      <c r="C168" s="5" t="s">
        <v>434</v>
      </c>
      <c r="D168" s="6">
        <v>78500000</v>
      </c>
      <c r="E168" s="8">
        <v>45860.394444444442</v>
      </c>
      <c r="F168" s="16">
        <v>45867.708333333343</v>
      </c>
      <c r="G168" s="5" t="s">
        <v>27</v>
      </c>
      <c r="H168" s="5" t="s">
        <v>113</v>
      </c>
      <c r="I168" s="5" t="s">
        <v>1037</v>
      </c>
      <c r="J168" s="5" t="s">
        <v>1038</v>
      </c>
      <c r="K168" s="5" t="s">
        <v>113</v>
      </c>
      <c r="L168" s="5" t="s">
        <v>113</v>
      </c>
      <c r="M168" s="5" t="s">
        <v>853</v>
      </c>
      <c r="N168" s="5" t="s">
        <v>893</v>
      </c>
      <c r="O168" s="5" t="s">
        <v>841</v>
      </c>
      <c r="P168" s="5" t="s">
        <v>841</v>
      </c>
      <c r="Q168" s="5" t="s">
        <v>372</v>
      </c>
      <c r="R168" s="5" t="s">
        <v>843</v>
      </c>
      <c r="S168" s="7" t="s">
        <v>1460</v>
      </c>
    </row>
    <row r="169" spans="1:19" ht="44" customHeight="1">
      <c r="A169" s="5" t="s">
        <v>14</v>
      </c>
      <c r="B169" s="5" t="s">
        <v>1461</v>
      </c>
      <c r="C169" s="5" t="s">
        <v>48</v>
      </c>
      <c r="D169" s="6">
        <v>49500000</v>
      </c>
      <c r="E169" s="8">
        <v>45860.893750000003</v>
      </c>
      <c r="F169" s="16">
        <v>45866.458333333343</v>
      </c>
      <c r="G169" s="5" t="s">
        <v>27</v>
      </c>
      <c r="H169" s="5" t="s">
        <v>113</v>
      </c>
      <c r="I169" s="5" t="s">
        <v>1037</v>
      </c>
      <c r="J169" s="5" t="s">
        <v>1038</v>
      </c>
      <c r="K169" s="5" t="s">
        <v>113</v>
      </c>
      <c r="L169" s="5" t="s">
        <v>113</v>
      </c>
      <c r="M169" s="5" t="s">
        <v>853</v>
      </c>
      <c r="N169" s="5" t="s">
        <v>839</v>
      </c>
      <c r="O169" s="5" t="s">
        <v>840</v>
      </c>
      <c r="P169" s="5" t="s">
        <v>841</v>
      </c>
      <c r="Q169" s="5" t="s">
        <v>578</v>
      </c>
      <c r="R169" s="5" t="s">
        <v>843</v>
      </c>
      <c r="S169" s="7" t="s">
        <v>1462</v>
      </c>
    </row>
    <row r="170" spans="1:19" ht="44" customHeight="1">
      <c r="A170" s="5" t="s">
        <v>14</v>
      </c>
      <c r="B170" s="5" t="s">
        <v>495</v>
      </c>
      <c r="C170" s="5" t="s">
        <v>496</v>
      </c>
      <c r="D170" s="6">
        <v>42800000</v>
      </c>
      <c r="E170" s="8">
        <v>45869.436111111107</v>
      </c>
      <c r="F170" s="16">
        <v>45880.625</v>
      </c>
      <c r="G170" s="5" t="s">
        <v>27</v>
      </c>
      <c r="H170" s="5" t="s">
        <v>68</v>
      </c>
      <c r="I170" s="14" t="s">
        <v>1040</v>
      </c>
      <c r="J170" s="5" t="s">
        <v>1041</v>
      </c>
      <c r="K170" s="5" t="s">
        <v>113</v>
      </c>
      <c r="L170" s="5" t="s">
        <v>113</v>
      </c>
      <c r="M170" s="5" t="s">
        <v>99</v>
      </c>
      <c r="N170" s="5" t="s">
        <v>839</v>
      </c>
      <c r="O170" s="5" t="s">
        <v>841</v>
      </c>
      <c r="P170" s="5" t="s">
        <v>841</v>
      </c>
      <c r="Q170" s="5" t="s">
        <v>372</v>
      </c>
      <c r="R170" s="5" t="s">
        <v>1463</v>
      </c>
      <c r="S170" s="7" t="s">
        <v>497</v>
      </c>
    </row>
    <row r="171" spans="1:19" ht="44" customHeight="1">
      <c r="A171" s="5" t="s">
        <v>14</v>
      </c>
      <c r="B171" s="5" t="s">
        <v>1461</v>
      </c>
      <c r="C171" s="5" t="s">
        <v>48</v>
      </c>
      <c r="D171" s="6">
        <v>49500000</v>
      </c>
      <c r="E171" s="8">
        <v>45869.916666666657</v>
      </c>
      <c r="F171" s="16">
        <v>45875.458333333343</v>
      </c>
      <c r="G171" s="5" t="s">
        <v>27</v>
      </c>
      <c r="H171" s="5" t="s">
        <v>113</v>
      </c>
      <c r="I171" s="5" t="s">
        <v>1037</v>
      </c>
      <c r="J171" s="5" t="s">
        <v>1038</v>
      </c>
      <c r="K171" s="5" t="s">
        <v>113</v>
      </c>
      <c r="L171" s="5" t="s">
        <v>113</v>
      </c>
      <c r="M171" s="5" t="s">
        <v>853</v>
      </c>
      <c r="N171" s="5" t="s">
        <v>839</v>
      </c>
      <c r="O171" s="5" t="s">
        <v>840</v>
      </c>
      <c r="P171" s="5" t="s">
        <v>841</v>
      </c>
      <c r="Q171" s="5" t="s">
        <v>578</v>
      </c>
      <c r="R171" s="5" t="s">
        <v>843</v>
      </c>
      <c r="S171" s="7" t="s">
        <v>1464</v>
      </c>
    </row>
    <row r="172" spans="1:19" ht="44" customHeight="1">
      <c r="A172" s="5" t="s">
        <v>14</v>
      </c>
      <c r="B172" s="5" t="s">
        <v>621</v>
      </c>
      <c r="C172" s="5" t="s">
        <v>622</v>
      </c>
      <c r="D172" s="6">
        <v>200000000</v>
      </c>
      <c r="E172" s="8">
        <v>45873.473611111112</v>
      </c>
      <c r="F172" s="16" t="s">
        <v>113</v>
      </c>
      <c r="G172" s="5" t="s">
        <v>27</v>
      </c>
      <c r="H172" s="5" t="s">
        <v>113</v>
      </c>
      <c r="I172" s="5" t="s">
        <v>1037</v>
      </c>
      <c r="J172" s="5" t="s">
        <v>1038</v>
      </c>
      <c r="K172" s="5" t="s">
        <v>113</v>
      </c>
      <c r="L172" s="5" t="s">
        <v>113</v>
      </c>
      <c r="M172" s="5" t="s">
        <v>113</v>
      </c>
      <c r="N172" s="5" t="s">
        <v>839</v>
      </c>
      <c r="O172" s="5" t="s">
        <v>113</v>
      </c>
      <c r="P172" s="5" t="s">
        <v>841</v>
      </c>
      <c r="Q172" s="5" t="s">
        <v>372</v>
      </c>
      <c r="R172" s="5" t="s">
        <v>874</v>
      </c>
      <c r="S172" s="7" t="s">
        <v>623</v>
      </c>
    </row>
    <row r="173" spans="1:19" ht="44" customHeight="1">
      <c r="A173" s="5" t="s">
        <v>14</v>
      </c>
      <c r="B173" s="5" t="s">
        <v>1465</v>
      </c>
      <c r="C173" s="5" t="s">
        <v>1466</v>
      </c>
      <c r="D173" s="6">
        <v>30000000</v>
      </c>
      <c r="E173" s="8">
        <v>45873.572222222218</v>
      </c>
      <c r="F173" s="16">
        <v>45877.416666666657</v>
      </c>
      <c r="G173" s="5" t="s">
        <v>27</v>
      </c>
      <c r="H173" s="5" t="s">
        <v>1467</v>
      </c>
      <c r="I173" s="5" t="s">
        <v>1037</v>
      </c>
      <c r="J173" s="5" t="s">
        <v>1038</v>
      </c>
      <c r="K173" s="5" t="s">
        <v>113</v>
      </c>
      <c r="L173" s="5" t="s">
        <v>113</v>
      </c>
      <c r="M173" s="5" t="s">
        <v>113</v>
      </c>
      <c r="N173" s="5" t="s">
        <v>839</v>
      </c>
      <c r="O173" s="5" t="s">
        <v>113</v>
      </c>
      <c r="P173" s="5" t="s">
        <v>865</v>
      </c>
      <c r="Q173" s="5" t="s">
        <v>578</v>
      </c>
      <c r="R173" s="5" t="s">
        <v>874</v>
      </c>
      <c r="S173" s="7" t="s">
        <v>1468</v>
      </c>
    </row>
    <row r="174" spans="1:19" ht="44" customHeight="1">
      <c r="A174" s="5" t="s">
        <v>14</v>
      </c>
      <c r="B174" s="5" t="s">
        <v>1469</v>
      </c>
      <c r="C174" s="5" t="s">
        <v>1138</v>
      </c>
      <c r="D174" s="6">
        <v>22000000</v>
      </c>
      <c r="E174" s="8">
        <v>45875.37222222222</v>
      </c>
      <c r="F174" s="16">
        <v>45876.5</v>
      </c>
      <c r="G174" s="5" t="s">
        <v>27</v>
      </c>
      <c r="H174" s="5" t="s">
        <v>1139</v>
      </c>
      <c r="I174" s="5" t="s">
        <v>1037</v>
      </c>
      <c r="J174" s="5" t="s">
        <v>1038</v>
      </c>
      <c r="K174" s="5" t="s">
        <v>113</v>
      </c>
      <c r="L174" s="5" t="s">
        <v>113</v>
      </c>
      <c r="M174" s="5" t="s">
        <v>113</v>
      </c>
      <c r="N174" s="5" t="s">
        <v>839</v>
      </c>
      <c r="O174" s="5" t="s">
        <v>113</v>
      </c>
      <c r="P174" s="5" t="s">
        <v>841</v>
      </c>
      <c r="Q174" s="5" t="s">
        <v>719</v>
      </c>
      <c r="R174" s="5" t="s">
        <v>874</v>
      </c>
      <c r="S174" s="7" t="s">
        <v>1470</v>
      </c>
    </row>
    <row r="175" spans="1:19" ht="44" customHeight="1">
      <c r="A175" s="5" t="s">
        <v>14</v>
      </c>
      <c r="B175" s="5" t="s">
        <v>493</v>
      </c>
      <c r="C175" s="5" t="s">
        <v>54</v>
      </c>
      <c r="D175" s="6">
        <v>252210000</v>
      </c>
      <c r="E175" s="8">
        <v>45887.634722222218</v>
      </c>
      <c r="F175" s="16">
        <v>45902.416666666657</v>
      </c>
      <c r="G175" s="5" t="s">
        <v>27</v>
      </c>
      <c r="H175" s="5" t="s">
        <v>68</v>
      </c>
      <c r="I175" s="14" t="s">
        <v>1040</v>
      </c>
      <c r="J175" s="5" t="s">
        <v>1041</v>
      </c>
      <c r="K175" s="5" t="s">
        <v>875</v>
      </c>
      <c r="L175" s="5" t="s">
        <v>1015</v>
      </c>
      <c r="M175" s="5" t="s">
        <v>853</v>
      </c>
      <c r="N175" s="5" t="s">
        <v>839</v>
      </c>
      <c r="O175" s="5" t="s">
        <v>840</v>
      </c>
      <c r="P175" s="5" t="s">
        <v>841</v>
      </c>
      <c r="Q175" s="5" t="s">
        <v>372</v>
      </c>
      <c r="R175" s="5" t="s">
        <v>843</v>
      </c>
      <c r="S175" s="7" t="s">
        <v>494</v>
      </c>
    </row>
    <row r="176" spans="1:19" ht="44" customHeight="1">
      <c r="A176" s="5" t="s">
        <v>14</v>
      </c>
      <c r="B176" s="5" t="s">
        <v>1471</v>
      </c>
      <c r="C176" s="5" t="s">
        <v>1159</v>
      </c>
      <c r="D176" s="6">
        <v>50000000</v>
      </c>
      <c r="E176" s="8">
        <v>45890.568749999999</v>
      </c>
      <c r="F176" s="16" t="s">
        <v>113</v>
      </c>
      <c r="G176" s="5" t="s">
        <v>27</v>
      </c>
      <c r="H176" s="5" t="s">
        <v>113</v>
      </c>
      <c r="I176" s="5" t="s">
        <v>847</v>
      </c>
      <c r="J176" s="5" t="s">
        <v>848</v>
      </c>
      <c r="K176" s="5" t="s">
        <v>113</v>
      </c>
      <c r="L176" s="5" t="s">
        <v>872</v>
      </c>
      <c r="M176" s="5" t="s">
        <v>113</v>
      </c>
      <c r="N176" s="5" t="s">
        <v>839</v>
      </c>
      <c r="O176" s="5" t="s">
        <v>113</v>
      </c>
      <c r="P176" s="5" t="s">
        <v>841</v>
      </c>
      <c r="Q176" s="5" t="s">
        <v>372</v>
      </c>
      <c r="R176" s="5" t="s">
        <v>874</v>
      </c>
      <c r="S176" s="7" t="s">
        <v>1472</v>
      </c>
    </row>
    <row r="177" spans="1:19" ht="44" customHeight="1">
      <c r="A177" s="5" t="s">
        <v>14</v>
      </c>
      <c r="B177" s="5" t="s">
        <v>1473</v>
      </c>
      <c r="C177" s="5" t="s">
        <v>393</v>
      </c>
      <c r="D177" s="6">
        <v>22000000</v>
      </c>
      <c r="E177" s="8">
        <v>45897.722916666673</v>
      </c>
      <c r="F177" s="16">
        <v>45902.708333333343</v>
      </c>
      <c r="G177" s="5" t="s">
        <v>27</v>
      </c>
      <c r="H177" s="5" t="s">
        <v>1474</v>
      </c>
      <c r="I177" s="5" t="s">
        <v>1037</v>
      </c>
      <c r="J177" s="5" t="s">
        <v>1038</v>
      </c>
      <c r="K177" s="5" t="s">
        <v>113</v>
      </c>
      <c r="L177" s="5" t="s">
        <v>113</v>
      </c>
      <c r="M177" s="5" t="s">
        <v>113</v>
      </c>
      <c r="N177" s="5" t="s">
        <v>839</v>
      </c>
      <c r="O177" s="5" t="s">
        <v>113</v>
      </c>
      <c r="P177" s="5" t="s">
        <v>841</v>
      </c>
      <c r="Q177" s="5" t="s">
        <v>719</v>
      </c>
      <c r="R177" s="5" t="s">
        <v>874</v>
      </c>
      <c r="S177" s="7" t="s">
        <v>1475</v>
      </c>
    </row>
    <row r="178" spans="1:19" ht="44" customHeight="1">
      <c r="A178" s="5" t="s">
        <v>14</v>
      </c>
      <c r="B178" s="5" t="s">
        <v>1476</v>
      </c>
      <c r="C178" s="5" t="s">
        <v>1159</v>
      </c>
      <c r="D178" s="6">
        <v>50000000</v>
      </c>
      <c r="E178" s="8">
        <v>45901.673611111109</v>
      </c>
      <c r="F178" s="16" t="s">
        <v>113</v>
      </c>
      <c r="G178" s="5" t="s">
        <v>27</v>
      </c>
      <c r="H178" s="5" t="s">
        <v>113</v>
      </c>
      <c r="I178" s="5" t="s">
        <v>847</v>
      </c>
      <c r="J178" s="5" t="s">
        <v>848</v>
      </c>
      <c r="K178" s="5" t="s">
        <v>113</v>
      </c>
      <c r="L178" s="5" t="s">
        <v>872</v>
      </c>
      <c r="M178" s="5" t="s">
        <v>113</v>
      </c>
      <c r="N178" s="5" t="s">
        <v>839</v>
      </c>
      <c r="O178" s="5" t="s">
        <v>113</v>
      </c>
      <c r="P178" s="5" t="s">
        <v>841</v>
      </c>
      <c r="Q178" s="5" t="s">
        <v>372</v>
      </c>
      <c r="R178" s="5" t="s">
        <v>874</v>
      </c>
      <c r="S178" s="7" t="s">
        <v>1477</v>
      </c>
    </row>
    <row r="179" spans="1:19" ht="44" customHeight="1">
      <c r="A179" s="5" t="s">
        <v>14</v>
      </c>
      <c r="B179" s="5" t="s">
        <v>1478</v>
      </c>
      <c r="C179" s="5" t="s">
        <v>1479</v>
      </c>
      <c r="D179" s="6">
        <v>67000000</v>
      </c>
      <c r="E179" s="8">
        <v>45905.553472222222</v>
      </c>
      <c r="F179" s="16">
        <v>45916.458333333343</v>
      </c>
      <c r="G179" s="5" t="s">
        <v>27</v>
      </c>
      <c r="H179" s="5" t="s">
        <v>1480</v>
      </c>
      <c r="I179" s="5" t="s">
        <v>1037</v>
      </c>
      <c r="J179" s="5" t="s">
        <v>1038</v>
      </c>
      <c r="K179" s="5" t="s">
        <v>113</v>
      </c>
      <c r="L179" s="5" t="s">
        <v>113</v>
      </c>
      <c r="M179" s="5" t="s">
        <v>853</v>
      </c>
      <c r="N179" s="5" t="s">
        <v>839</v>
      </c>
      <c r="O179" s="5" t="s">
        <v>840</v>
      </c>
      <c r="P179" s="5" t="s">
        <v>841</v>
      </c>
      <c r="Q179" s="5" t="s">
        <v>372</v>
      </c>
      <c r="R179" s="5" t="s">
        <v>843</v>
      </c>
      <c r="S179" s="7" t="s">
        <v>1481</v>
      </c>
    </row>
    <row r="180" spans="1:19" ht="44" customHeight="1">
      <c r="A180" s="5" t="s">
        <v>14</v>
      </c>
      <c r="B180" s="5" t="s">
        <v>1482</v>
      </c>
      <c r="C180" s="5" t="s">
        <v>892</v>
      </c>
      <c r="D180" s="6">
        <v>79830000</v>
      </c>
      <c r="E180" s="8">
        <v>45922.709722222222</v>
      </c>
      <c r="F180" s="16" t="s">
        <v>113</v>
      </c>
      <c r="G180" s="5" t="s">
        <v>27</v>
      </c>
      <c r="H180" s="5" t="s">
        <v>113</v>
      </c>
      <c r="I180" s="5" t="s">
        <v>1037</v>
      </c>
      <c r="J180" s="5" t="s">
        <v>1038</v>
      </c>
      <c r="K180" s="5" t="s">
        <v>113</v>
      </c>
      <c r="L180" s="5" t="s">
        <v>113</v>
      </c>
      <c r="M180" s="5" t="s">
        <v>113</v>
      </c>
      <c r="N180" s="5" t="s">
        <v>893</v>
      </c>
      <c r="O180" s="5" t="s">
        <v>113</v>
      </c>
      <c r="P180" s="5" t="s">
        <v>841</v>
      </c>
      <c r="Q180" s="5" t="s">
        <v>372</v>
      </c>
      <c r="R180" s="5" t="s">
        <v>874</v>
      </c>
      <c r="S180" s="7" t="s">
        <v>1483</v>
      </c>
    </row>
    <row r="181" spans="1:19" ht="44" customHeight="1">
      <c r="A181" s="5" t="s">
        <v>14</v>
      </c>
      <c r="B181" s="5" t="s">
        <v>1482</v>
      </c>
      <c r="C181" s="5" t="s">
        <v>892</v>
      </c>
      <c r="D181" s="6">
        <v>79830000</v>
      </c>
      <c r="E181" s="8">
        <v>45944.604861111111</v>
      </c>
      <c r="F181" s="16" t="s">
        <v>113</v>
      </c>
      <c r="G181" s="5" t="s">
        <v>27</v>
      </c>
      <c r="H181" s="5" t="s">
        <v>113</v>
      </c>
      <c r="I181" s="5" t="s">
        <v>1037</v>
      </c>
      <c r="J181" s="5" t="s">
        <v>1038</v>
      </c>
      <c r="K181" s="5" t="s">
        <v>113</v>
      </c>
      <c r="L181" s="5" t="s">
        <v>113</v>
      </c>
      <c r="M181" s="5" t="s">
        <v>113</v>
      </c>
      <c r="N181" s="5" t="s">
        <v>893</v>
      </c>
      <c r="O181" s="5" t="s">
        <v>113</v>
      </c>
      <c r="P181" s="5" t="s">
        <v>841</v>
      </c>
      <c r="Q181" s="5" t="s">
        <v>372</v>
      </c>
      <c r="R181" s="5" t="s">
        <v>874</v>
      </c>
      <c r="S181" s="7" t="s">
        <v>1484</v>
      </c>
    </row>
    <row r="182" spans="1:19" ht="44" customHeight="1">
      <c r="A182" s="5" t="s">
        <v>14</v>
      </c>
      <c r="B182" s="5" t="s">
        <v>797</v>
      </c>
      <c r="C182" s="5" t="s">
        <v>798</v>
      </c>
      <c r="D182" s="6">
        <v>94000000</v>
      </c>
      <c r="E182" s="8">
        <v>45951.65625</v>
      </c>
      <c r="F182" s="16">
        <v>45952.5</v>
      </c>
      <c r="G182" s="5" t="s">
        <v>27</v>
      </c>
      <c r="H182" s="5" t="s">
        <v>793</v>
      </c>
      <c r="I182" s="14" t="s">
        <v>1040</v>
      </c>
      <c r="J182" s="5" t="s">
        <v>1041</v>
      </c>
      <c r="K182" s="5" t="s">
        <v>875</v>
      </c>
      <c r="L182" s="5" t="s">
        <v>113</v>
      </c>
      <c r="M182" s="5" t="s">
        <v>113</v>
      </c>
      <c r="N182" s="5" t="s">
        <v>839</v>
      </c>
      <c r="O182" s="5" t="s">
        <v>840</v>
      </c>
      <c r="P182" s="5" t="s">
        <v>841</v>
      </c>
      <c r="Q182" s="5" t="s">
        <v>719</v>
      </c>
      <c r="R182" s="5" t="s">
        <v>843</v>
      </c>
      <c r="S182" s="7" t="s">
        <v>799</v>
      </c>
    </row>
    <row r="183" spans="1:19" ht="44" customHeight="1">
      <c r="A183" s="5" t="s">
        <v>14</v>
      </c>
      <c r="B183" s="5" t="s">
        <v>1485</v>
      </c>
      <c r="C183" s="5" t="s">
        <v>412</v>
      </c>
      <c r="D183" s="6">
        <v>250000000</v>
      </c>
      <c r="E183" s="8">
        <v>45952.618055555547</v>
      </c>
      <c r="F183" s="16">
        <v>45965.625</v>
      </c>
      <c r="G183" s="5" t="s">
        <v>27</v>
      </c>
      <c r="H183" s="5" t="s">
        <v>113</v>
      </c>
      <c r="I183" s="5" t="s">
        <v>847</v>
      </c>
      <c r="J183" s="5" t="s">
        <v>848</v>
      </c>
      <c r="K183" s="5" t="s">
        <v>942</v>
      </c>
      <c r="L183" s="5" t="s">
        <v>1486</v>
      </c>
      <c r="M183" s="5" t="s">
        <v>853</v>
      </c>
      <c r="N183" s="5" t="s">
        <v>839</v>
      </c>
      <c r="O183" s="5" t="s">
        <v>840</v>
      </c>
      <c r="P183" s="5" t="s">
        <v>841</v>
      </c>
      <c r="Q183" s="5" t="s">
        <v>372</v>
      </c>
      <c r="R183" s="5" t="s">
        <v>843</v>
      </c>
      <c r="S183" s="7" t="s">
        <v>1487</v>
      </c>
    </row>
    <row r="184" spans="1:19" ht="44" customHeight="1">
      <c r="A184" s="5" t="s">
        <v>14</v>
      </c>
      <c r="B184" s="5" t="s">
        <v>392</v>
      </c>
      <c r="C184" s="5" t="s">
        <v>393</v>
      </c>
      <c r="D184" s="6">
        <v>75000000</v>
      </c>
      <c r="E184" s="8">
        <v>45999.602777777778</v>
      </c>
      <c r="F184" s="16">
        <v>46006.666666666657</v>
      </c>
      <c r="G184" s="5" t="s">
        <v>27</v>
      </c>
      <c r="H184" s="5" t="s">
        <v>68</v>
      </c>
      <c r="I184" s="5" t="s">
        <v>837</v>
      </c>
      <c r="J184" s="5" t="s">
        <v>838</v>
      </c>
      <c r="K184" s="5" t="s">
        <v>113</v>
      </c>
      <c r="L184" s="5" t="s">
        <v>113</v>
      </c>
      <c r="M184" s="5" t="s">
        <v>99</v>
      </c>
      <c r="N184" s="5" t="s">
        <v>839</v>
      </c>
      <c r="O184" s="5" t="s">
        <v>840</v>
      </c>
      <c r="P184" s="5" t="s">
        <v>841</v>
      </c>
      <c r="Q184" s="5" t="s">
        <v>372</v>
      </c>
      <c r="R184" s="5" t="s">
        <v>1488</v>
      </c>
      <c r="S184" s="7" t="s">
        <v>394</v>
      </c>
    </row>
    <row r="185" spans="1:19" ht="44" customHeight="1">
      <c r="A185" s="5" t="s">
        <v>14</v>
      </c>
      <c r="B185" s="5" t="s">
        <v>1489</v>
      </c>
      <c r="C185" s="5" t="s">
        <v>1490</v>
      </c>
      <c r="D185" s="6">
        <v>40000000</v>
      </c>
      <c r="E185" s="8">
        <v>46008.575694444437</v>
      </c>
      <c r="F185" s="16">
        <v>46023.575694444437</v>
      </c>
      <c r="G185" s="5" t="s">
        <v>27</v>
      </c>
      <c r="H185" s="5" t="s">
        <v>113</v>
      </c>
      <c r="I185" s="5" t="s">
        <v>837</v>
      </c>
      <c r="J185" s="5" t="s">
        <v>838</v>
      </c>
      <c r="K185" s="5" t="s">
        <v>113</v>
      </c>
      <c r="L185" s="5" t="s">
        <v>113</v>
      </c>
      <c r="M185" s="5" t="s">
        <v>99</v>
      </c>
      <c r="N185" s="5" t="s">
        <v>839</v>
      </c>
      <c r="O185" s="5" t="s">
        <v>840</v>
      </c>
      <c r="P185" s="5" t="s">
        <v>841</v>
      </c>
      <c r="Q185" s="5" t="s">
        <v>372</v>
      </c>
      <c r="R185" s="5" t="s">
        <v>1491</v>
      </c>
      <c r="S185" s="7" t="s">
        <v>1492</v>
      </c>
    </row>
  </sheetData>
  <mergeCells count="5">
    <mergeCell ref="A71:S71"/>
    <mergeCell ref="A107:S107"/>
    <mergeCell ref="A1:S1"/>
    <mergeCell ref="A3:S3"/>
    <mergeCell ref="A2:S2"/>
  </mergeCells>
  <phoneticPr fontId="10" type="noConversion"/>
  <hyperlinks>
    <hyperlink ref="S5" r:id="rId1" xr:uid="{00000000-0004-0000-0400-000000000000}"/>
    <hyperlink ref="S6" r:id="rId2" xr:uid="{00000000-0004-0000-0400-000001000000}"/>
    <hyperlink ref="S7" r:id="rId3" xr:uid="{00000000-0004-0000-0400-000002000000}"/>
    <hyperlink ref="S8" r:id="rId4" xr:uid="{00000000-0004-0000-0400-000003000000}"/>
    <hyperlink ref="S9" r:id="rId5" xr:uid="{00000000-0004-0000-0400-000004000000}"/>
    <hyperlink ref="S10" r:id="rId6" xr:uid="{00000000-0004-0000-0400-000005000000}"/>
    <hyperlink ref="S11" r:id="rId7" xr:uid="{00000000-0004-0000-0400-000006000000}"/>
    <hyperlink ref="S12" r:id="rId8" xr:uid="{00000000-0004-0000-0400-000007000000}"/>
    <hyperlink ref="S13" r:id="rId9" xr:uid="{00000000-0004-0000-0400-000008000000}"/>
    <hyperlink ref="S14" r:id="rId10" xr:uid="{00000000-0004-0000-0400-000009000000}"/>
    <hyperlink ref="S15" r:id="rId11" xr:uid="{00000000-0004-0000-0400-00000A000000}"/>
    <hyperlink ref="S16" r:id="rId12" xr:uid="{00000000-0004-0000-0400-00000B000000}"/>
    <hyperlink ref="S17" r:id="rId13" xr:uid="{00000000-0004-0000-0400-00000C000000}"/>
    <hyperlink ref="S18" r:id="rId14" xr:uid="{00000000-0004-0000-0400-00000D000000}"/>
    <hyperlink ref="S19" r:id="rId15" xr:uid="{00000000-0004-0000-0400-00000E000000}"/>
    <hyperlink ref="S20" r:id="rId16" xr:uid="{00000000-0004-0000-0400-00000F000000}"/>
    <hyperlink ref="S21" r:id="rId17" xr:uid="{00000000-0004-0000-0400-000010000000}"/>
    <hyperlink ref="S22" r:id="rId18" xr:uid="{00000000-0004-0000-0400-000011000000}"/>
    <hyperlink ref="S23" r:id="rId19" xr:uid="{00000000-0004-0000-0400-000012000000}"/>
    <hyperlink ref="S24" r:id="rId20" xr:uid="{00000000-0004-0000-0400-000013000000}"/>
    <hyperlink ref="S25" r:id="rId21" xr:uid="{00000000-0004-0000-0400-000014000000}"/>
    <hyperlink ref="S26" r:id="rId22" xr:uid="{00000000-0004-0000-0400-000015000000}"/>
    <hyperlink ref="S27" r:id="rId23" xr:uid="{00000000-0004-0000-0400-000016000000}"/>
    <hyperlink ref="S28" r:id="rId24" xr:uid="{00000000-0004-0000-0400-000017000000}"/>
    <hyperlink ref="S29" r:id="rId25" xr:uid="{00000000-0004-0000-0400-000018000000}"/>
    <hyperlink ref="S30" r:id="rId26" xr:uid="{00000000-0004-0000-0400-000019000000}"/>
    <hyperlink ref="S31" r:id="rId27" xr:uid="{00000000-0004-0000-0400-00001A000000}"/>
    <hyperlink ref="S32" r:id="rId28" xr:uid="{00000000-0004-0000-0400-00001B000000}"/>
    <hyperlink ref="S33" r:id="rId29" xr:uid="{00000000-0004-0000-0400-00001C000000}"/>
    <hyperlink ref="S34" r:id="rId30" xr:uid="{00000000-0004-0000-0400-00001D000000}"/>
    <hyperlink ref="S35" r:id="rId31" xr:uid="{00000000-0004-0000-0400-00001E000000}"/>
    <hyperlink ref="S36" r:id="rId32" xr:uid="{00000000-0004-0000-0400-00001F000000}"/>
    <hyperlink ref="S37" r:id="rId33" xr:uid="{00000000-0004-0000-0400-000020000000}"/>
    <hyperlink ref="S38" r:id="rId34" xr:uid="{00000000-0004-0000-0400-000021000000}"/>
    <hyperlink ref="S39" r:id="rId35" xr:uid="{00000000-0004-0000-0400-000022000000}"/>
    <hyperlink ref="S40" r:id="rId36" xr:uid="{00000000-0004-0000-0400-000023000000}"/>
    <hyperlink ref="S41" r:id="rId37" xr:uid="{00000000-0004-0000-0400-000024000000}"/>
    <hyperlink ref="S42" r:id="rId38" xr:uid="{00000000-0004-0000-0400-000025000000}"/>
    <hyperlink ref="S43" r:id="rId39" xr:uid="{00000000-0004-0000-0400-000026000000}"/>
    <hyperlink ref="S44" r:id="rId40" xr:uid="{00000000-0004-0000-0400-000027000000}"/>
    <hyperlink ref="S45" r:id="rId41" xr:uid="{00000000-0004-0000-0400-000028000000}"/>
    <hyperlink ref="S46" r:id="rId42" xr:uid="{00000000-0004-0000-0400-000029000000}"/>
    <hyperlink ref="S47" r:id="rId43" xr:uid="{00000000-0004-0000-0400-00002A000000}"/>
    <hyperlink ref="S48" r:id="rId44" xr:uid="{00000000-0004-0000-0400-00002B000000}"/>
    <hyperlink ref="S49" r:id="rId45" xr:uid="{00000000-0004-0000-0400-00002C000000}"/>
    <hyperlink ref="S50" r:id="rId46" xr:uid="{00000000-0004-0000-0400-00002D000000}"/>
    <hyperlink ref="S51" r:id="rId47" xr:uid="{00000000-0004-0000-0400-00002E000000}"/>
    <hyperlink ref="S52" r:id="rId48" xr:uid="{00000000-0004-0000-0400-00002F000000}"/>
    <hyperlink ref="S53" r:id="rId49" xr:uid="{00000000-0004-0000-0400-000030000000}"/>
    <hyperlink ref="S54" r:id="rId50" xr:uid="{00000000-0004-0000-0400-000031000000}"/>
    <hyperlink ref="S55" r:id="rId51" xr:uid="{00000000-0004-0000-0400-000032000000}"/>
    <hyperlink ref="S56" r:id="rId52" xr:uid="{00000000-0004-0000-0400-000033000000}"/>
    <hyperlink ref="S57" r:id="rId53" xr:uid="{00000000-0004-0000-0400-000034000000}"/>
    <hyperlink ref="S58" r:id="rId54" xr:uid="{00000000-0004-0000-0400-000035000000}"/>
    <hyperlink ref="S59" r:id="rId55" xr:uid="{00000000-0004-0000-0400-000036000000}"/>
    <hyperlink ref="S60" r:id="rId56" xr:uid="{00000000-0004-0000-0400-000037000000}"/>
    <hyperlink ref="S61" r:id="rId57" xr:uid="{00000000-0004-0000-0400-000038000000}"/>
    <hyperlink ref="S62" r:id="rId58" xr:uid="{00000000-0004-0000-0400-000039000000}"/>
    <hyperlink ref="S63" r:id="rId59" xr:uid="{00000000-0004-0000-0400-00003A000000}"/>
    <hyperlink ref="S64" r:id="rId60" xr:uid="{00000000-0004-0000-0400-00003B000000}"/>
    <hyperlink ref="S65" r:id="rId61" xr:uid="{00000000-0004-0000-0400-00003C000000}"/>
    <hyperlink ref="S66" r:id="rId62" xr:uid="{00000000-0004-0000-0400-00003D000000}"/>
    <hyperlink ref="S67" r:id="rId63" xr:uid="{00000000-0004-0000-0400-00003E000000}"/>
    <hyperlink ref="S68" r:id="rId64" xr:uid="{00000000-0004-0000-0400-00003F000000}"/>
    <hyperlink ref="S69" r:id="rId65" xr:uid="{00000000-0004-0000-0400-000040000000}"/>
    <hyperlink ref="S73" r:id="rId66" xr:uid="{00000000-0004-0000-0400-000041000000}"/>
    <hyperlink ref="S74" r:id="rId67" xr:uid="{00000000-0004-0000-0400-000042000000}"/>
    <hyperlink ref="S75" r:id="rId68" xr:uid="{00000000-0004-0000-0400-000043000000}"/>
    <hyperlink ref="S76" r:id="rId69" xr:uid="{00000000-0004-0000-0400-000044000000}"/>
    <hyperlink ref="S77" r:id="rId70" xr:uid="{00000000-0004-0000-0400-000045000000}"/>
    <hyperlink ref="S78" r:id="rId71" xr:uid="{00000000-0004-0000-0400-000046000000}"/>
    <hyperlink ref="S79" r:id="rId72" xr:uid="{00000000-0004-0000-0400-000047000000}"/>
    <hyperlink ref="S80" r:id="rId73" xr:uid="{00000000-0004-0000-0400-000048000000}"/>
    <hyperlink ref="S81" r:id="rId74" xr:uid="{00000000-0004-0000-0400-000049000000}"/>
    <hyperlink ref="S82" r:id="rId75" xr:uid="{00000000-0004-0000-0400-00004A000000}"/>
    <hyperlink ref="S83" r:id="rId76" xr:uid="{00000000-0004-0000-0400-00004B000000}"/>
    <hyperlink ref="S84" r:id="rId77" xr:uid="{00000000-0004-0000-0400-00004C000000}"/>
    <hyperlink ref="S85" r:id="rId78" xr:uid="{00000000-0004-0000-0400-00004D000000}"/>
    <hyperlink ref="S86" r:id="rId79" xr:uid="{00000000-0004-0000-0400-00004E000000}"/>
    <hyperlink ref="S87" r:id="rId80" xr:uid="{00000000-0004-0000-0400-00004F000000}"/>
    <hyperlink ref="S88" r:id="rId81" xr:uid="{00000000-0004-0000-0400-000050000000}"/>
    <hyperlink ref="S89" r:id="rId82" xr:uid="{00000000-0004-0000-0400-000051000000}"/>
    <hyperlink ref="S90" r:id="rId83" xr:uid="{00000000-0004-0000-0400-000052000000}"/>
    <hyperlink ref="S91" r:id="rId84" xr:uid="{00000000-0004-0000-0400-000053000000}"/>
    <hyperlink ref="S92" r:id="rId85" xr:uid="{00000000-0004-0000-0400-000054000000}"/>
    <hyperlink ref="S93" r:id="rId86" xr:uid="{00000000-0004-0000-0400-000055000000}"/>
    <hyperlink ref="S94" r:id="rId87" xr:uid="{00000000-0004-0000-0400-000056000000}"/>
    <hyperlink ref="S95" r:id="rId88" xr:uid="{00000000-0004-0000-0400-000057000000}"/>
    <hyperlink ref="S96" r:id="rId89" xr:uid="{00000000-0004-0000-0400-000058000000}"/>
    <hyperlink ref="S97" r:id="rId90" xr:uid="{00000000-0004-0000-0400-000059000000}"/>
    <hyperlink ref="S98" r:id="rId91" xr:uid="{00000000-0004-0000-0400-00005A000000}"/>
    <hyperlink ref="S99" r:id="rId92" xr:uid="{00000000-0004-0000-0400-00005B000000}"/>
    <hyperlink ref="S100" r:id="rId93" xr:uid="{00000000-0004-0000-0400-00005C000000}"/>
    <hyperlink ref="S101" r:id="rId94" xr:uid="{00000000-0004-0000-0400-00005D000000}"/>
    <hyperlink ref="S102" r:id="rId95" xr:uid="{00000000-0004-0000-0400-00005E000000}"/>
    <hyperlink ref="S103" r:id="rId96" xr:uid="{00000000-0004-0000-0400-00005F000000}"/>
    <hyperlink ref="S104" r:id="rId97" xr:uid="{00000000-0004-0000-0400-000060000000}"/>
    <hyperlink ref="S105" r:id="rId98" xr:uid="{00000000-0004-0000-0400-000061000000}"/>
    <hyperlink ref="S109" r:id="rId99" xr:uid="{00000000-0004-0000-0400-000062000000}"/>
    <hyperlink ref="S110" r:id="rId100" xr:uid="{00000000-0004-0000-0400-000063000000}"/>
    <hyperlink ref="S111" r:id="rId101" xr:uid="{00000000-0004-0000-0400-000064000000}"/>
    <hyperlink ref="S112" r:id="rId102" xr:uid="{00000000-0004-0000-0400-000065000000}"/>
    <hyperlink ref="S113" r:id="rId103" xr:uid="{00000000-0004-0000-0400-000066000000}"/>
    <hyperlink ref="S114" r:id="rId104" xr:uid="{00000000-0004-0000-0400-000067000000}"/>
    <hyperlink ref="S115" r:id="rId105" xr:uid="{00000000-0004-0000-0400-000068000000}"/>
    <hyperlink ref="S116" r:id="rId106" xr:uid="{00000000-0004-0000-0400-000069000000}"/>
    <hyperlink ref="S117" r:id="rId107" xr:uid="{00000000-0004-0000-0400-00006A000000}"/>
    <hyperlink ref="S118" r:id="rId108" xr:uid="{00000000-0004-0000-0400-00006B000000}"/>
    <hyperlink ref="S119" r:id="rId109" xr:uid="{00000000-0004-0000-0400-00006C000000}"/>
    <hyperlink ref="S120" r:id="rId110" xr:uid="{00000000-0004-0000-0400-00006D000000}"/>
    <hyperlink ref="S121" r:id="rId111" xr:uid="{00000000-0004-0000-0400-00006E000000}"/>
    <hyperlink ref="S122" r:id="rId112" xr:uid="{00000000-0004-0000-0400-00006F000000}"/>
    <hyperlink ref="S123" r:id="rId113" xr:uid="{00000000-0004-0000-0400-000070000000}"/>
    <hyperlink ref="S124" r:id="rId114" xr:uid="{00000000-0004-0000-0400-000071000000}"/>
    <hyperlink ref="S125" r:id="rId115" xr:uid="{00000000-0004-0000-0400-000072000000}"/>
    <hyperlink ref="S126" r:id="rId116" xr:uid="{00000000-0004-0000-0400-000073000000}"/>
    <hyperlink ref="S127" r:id="rId117" xr:uid="{00000000-0004-0000-0400-000074000000}"/>
    <hyperlink ref="S128" r:id="rId118" xr:uid="{00000000-0004-0000-0400-000075000000}"/>
    <hyperlink ref="S129" r:id="rId119" xr:uid="{00000000-0004-0000-0400-000076000000}"/>
    <hyperlink ref="S130" r:id="rId120" xr:uid="{00000000-0004-0000-0400-000077000000}"/>
    <hyperlink ref="S131" r:id="rId121" xr:uid="{00000000-0004-0000-0400-000078000000}"/>
    <hyperlink ref="S132" r:id="rId122" xr:uid="{00000000-0004-0000-0400-000079000000}"/>
    <hyperlink ref="S133" r:id="rId123" xr:uid="{00000000-0004-0000-0400-00007A000000}"/>
    <hyperlink ref="S134" r:id="rId124" xr:uid="{00000000-0004-0000-0400-00007B000000}"/>
    <hyperlink ref="S135" r:id="rId125" xr:uid="{00000000-0004-0000-0400-00007C000000}"/>
    <hyperlink ref="S136" r:id="rId126" xr:uid="{00000000-0004-0000-0400-00007D000000}"/>
    <hyperlink ref="S137" r:id="rId127" xr:uid="{00000000-0004-0000-0400-00007E000000}"/>
    <hyperlink ref="S138" r:id="rId128" xr:uid="{00000000-0004-0000-0400-00007F000000}"/>
    <hyperlink ref="S139" r:id="rId129" xr:uid="{00000000-0004-0000-0400-000080000000}"/>
    <hyperlink ref="S140" r:id="rId130" xr:uid="{00000000-0004-0000-0400-000081000000}"/>
    <hyperlink ref="S141" r:id="rId131" xr:uid="{00000000-0004-0000-0400-000082000000}"/>
    <hyperlink ref="S142" r:id="rId132" xr:uid="{00000000-0004-0000-0400-000083000000}"/>
    <hyperlink ref="S143" r:id="rId133" xr:uid="{00000000-0004-0000-0400-000084000000}"/>
    <hyperlink ref="S144" r:id="rId134" xr:uid="{00000000-0004-0000-0400-000085000000}"/>
    <hyperlink ref="S145" r:id="rId135" xr:uid="{00000000-0004-0000-0400-000086000000}"/>
    <hyperlink ref="S146" r:id="rId136" xr:uid="{00000000-0004-0000-0400-000087000000}"/>
    <hyperlink ref="S147" r:id="rId137" xr:uid="{00000000-0004-0000-0400-000088000000}"/>
    <hyperlink ref="S148" r:id="rId138" xr:uid="{00000000-0004-0000-0400-000089000000}"/>
    <hyperlink ref="S149" r:id="rId139" xr:uid="{00000000-0004-0000-0400-00008A000000}"/>
    <hyperlink ref="S150" r:id="rId140" xr:uid="{00000000-0004-0000-0400-00008B000000}"/>
    <hyperlink ref="S151" r:id="rId141" xr:uid="{00000000-0004-0000-0400-00008C000000}"/>
    <hyperlink ref="S152" r:id="rId142" xr:uid="{00000000-0004-0000-0400-00008D000000}"/>
    <hyperlink ref="S153" r:id="rId143" xr:uid="{00000000-0004-0000-0400-00008E000000}"/>
    <hyperlink ref="S154" r:id="rId144" xr:uid="{00000000-0004-0000-0400-00008F000000}"/>
    <hyperlink ref="S155" r:id="rId145" xr:uid="{00000000-0004-0000-0400-000090000000}"/>
    <hyperlink ref="S156" r:id="rId146" xr:uid="{00000000-0004-0000-0400-000091000000}"/>
    <hyperlink ref="S157" r:id="rId147" xr:uid="{00000000-0004-0000-0400-000092000000}"/>
    <hyperlink ref="S158" r:id="rId148" xr:uid="{00000000-0004-0000-0400-000093000000}"/>
    <hyperlink ref="S159" r:id="rId149" xr:uid="{00000000-0004-0000-0400-000094000000}"/>
    <hyperlink ref="S160" r:id="rId150" xr:uid="{00000000-0004-0000-0400-000095000000}"/>
    <hyperlink ref="S161" r:id="rId151" xr:uid="{00000000-0004-0000-0400-000096000000}"/>
    <hyperlink ref="S162" r:id="rId152" xr:uid="{00000000-0004-0000-0400-000097000000}"/>
    <hyperlink ref="S163" r:id="rId153" xr:uid="{00000000-0004-0000-0400-000098000000}"/>
    <hyperlink ref="S164" r:id="rId154" xr:uid="{00000000-0004-0000-0400-000099000000}"/>
    <hyperlink ref="S165" r:id="rId155" xr:uid="{00000000-0004-0000-0400-00009A000000}"/>
    <hyperlink ref="S166" r:id="rId156" xr:uid="{00000000-0004-0000-0400-00009B000000}"/>
    <hyperlink ref="S167" r:id="rId157" xr:uid="{00000000-0004-0000-0400-00009C000000}"/>
    <hyperlink ref="S168" r:id="rId158" xr:uid="{00000000-0004-0000-0400-00009D000000}"/>
    <hyperlink ref="S169" r:id="rId159" xr:uid="{00000000-0004-0000-0400-00009E000000}"/>
    <hyperlink ref="S170" r:id="rId160" xr:uid="{00000000-0004-0000-0400-00009F000000}"/>
    <hyperlink ref="S171" r:id="rId161" xr:uid="{00000000-0004-0000-0400-0000A0000000}"/>
    <hyperlink ref="S172" r:id="rId162" xr:uid="{00000000-0004-0000-0400-0000A1000000}"/>
    <hyperlink ref="S173" r:id="rId163" xr:uid="{00000000-0004-0000-0400-0000A2000000}"/>
    <hyperlink ref="S174" r:id="rId164" xr:uid="{00000000-0004-0000-0400-0000A3000000}"/>
    <hyperlink ref="S175" r:id="rId165" xr:uid="{00000000-0004-0000-0400-0000A4000000}"/>
    <hyperlink ref="S176" r:id="rId166" xr:uid="{00000000-0004-0000-0400-0000A5000000}"/>
    <hyperlink ref="S177" r:id="rId167" xr:uid="{00000000-0004-0000-0400-0000A6000000}"/>
    <hyperlink ref="S178" r:id="rId168" xr:uid="{00000000-0004-0000-0400-0000A7000000}"/>
    <hyperlink ref="S179" r:id="rId169" xr:uid="{00000000-0004-0000-0400-0000A8000000}"/>
    <hyperlink ref="S180" r:id="rId170" xr:uid="{00000000-0004-0000-0400-0000A9000000}"/>
    <hyperlink ref="S181" r:id="rId171" xr:uid="{00000000-0004-0000-0400-0000AA000000}"/>
    <hyperlink ref="S182" r:id="rId172" xr:uid="{00000000-0004-0000-0400-0000AB000000}"/>
    <hyperlink ref="S183" r:id="rId173" xr:uid="{00000000-0004-0000-0400-0000AC000000}"/>
    <hyperlink ref="S184" r:id="rId174" xr:uid="{00000000-0004-0000-0400-0000AD000000}"/>
    <hyperlink ref="S185" r:id="rId175" xr:uid="{00000000-0004-0000-0400-0000AE000000}"/>
  </hyperlinks>
  <pageMargins left="0.75" right="0.75" top="1" bottom="1" header="0.5" footer="0.5"/>
  <tableParts count="3">
    <tablePart r:id="rId176"/>
    <tablePart r:id="rId177"/>
    <tablePart r:id="rId17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2"/>
  <sheetViews>
    <sheetView showGridLines="0" workbookViewId="0">
      <pane ySplit="3" topLeftCell="A4" activePane="bottomLeft" state="frozen"/>
      <selection pane="bottomLeft"/>
    </sheetView>
  </sheetViews>
  <sheetFormatPr baseColWidth="10" defaultColWidth="8.83203125" defaultRowHeight="17"/>
  <cols>
    <col min="1" max="1" width="24" customWidth="1"/>
    <col min="2" max="2" width="50" customWidth="1"/>
    <col min="3" max="3" width="25" customWidth="1"/>
    <col min="4" max="4" width="16" customWidth="1"/>
    <col min="5" max="5" width="14" customWidth="1"/>
    <col min="6" max="6" width="19" customWidth="1"/>
    <col min="7" max="7" width="11" customWidth="1"/>
    <col min="8" max="8" width="24" customWidth="1"/>
    <col min="9" max="9" width="17" customWidth="1"/>
    <col min="10" max="10" width="32" customWidth="1"/>
    <col min="11" max="12" width="34" customWidth="1"/>
    <col min="13" max="13" width="28" customWidth="1"/>
    <col min="14" max="16" width="22" customWidth="1"/>
    <col min="17" max="17" width="25" customWidth="1"/>
    <col min="18" max="18" width="34" customWidth="1"/>
    <col min="19" max="19" width="42" customWidth="1"/>
  </cols>
  <sheetData>
    <row r="1" spans="1:19" ht="28" customHeight="1">
      <c r="A1" s="18" t="s">
        <v>1493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19" ht="30" customHeight="1">
      <c r="A2" s="22" t="s">
        <v>822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3" spans="1:19" ht="24" customHeight="1">
      <c r="A3" s="23" t="s">
        <v>1494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</row>
    <row r="4" spans="1:19" ht="36" customHeight="1">
      <c r="A4" s="4" t="s">
        <v>6</v>
      </c>
      <c r="B4" s="4" t="s">
        <v>17</v>
      </c>
      <c r="C4" s="4" t="s">
        <v>18</v>
      </c>
      <c r="D4" s="4" t="s">
        <v>19</v>
      </c>
      <c r="E4" s="4" t="s">
        <v>21</v>
      </c>
      <c r="F4" s="4" t="s">
        <v>27</v>
      </c>
      <c r="G4" s="4" t="s">
        <v>22</v>
      </c>
      <c r="H4" s="4" t="s">
        <v>824</v>
      </c>
      <c r="I4" s="4" t="s">
        <v>825</v>
      </c>
      <c r="J4" s="4" t="s">
        <v>826</v>
      </c>
      <c r="K4" s="4" t="s">
        <v>827</v>
      </c>
      <c r="L4" s="4" t="s">
        <v>828</v>
      </c>
      <c r="M4" s="4" t="s">
        <v>829</v>
      </c>
      <c r="N4" s="4" t="s">
        <v>830</v>
      </c>
      <c r="O4" s="4" t="s">
        <v>831</v>
      </c>
      <c r="P4" s="4" t="s">
        <v>832</v>
      </c>
      <c r="Q4" s="4" t="s">
        <v>358</v>
      </c>
      <c r="R4" s="4" t="s">
        <v>833</v>
      </c>
      <c r="S4" s="4" t="s">
        <v>834</v>
      </c>
    </row>
    <row r="5" spans="1:19" ht="44" customHeight="1">
      <c r="A5" s="5" t="s">
        <v>12</v>
      </c>
      <c r="B5" s="5" t="s">
        <v>677</v>
      </c>
      <c r="C5" s="5" t="s">
        <v>678</v>
      </c>
      <c r="D5" s="6">
        <v>77000000</v>
      </c>
      <c r="E5" s="8">
        <v>45299.405555555553</v>
      </c>
      <c r="F5" s="16">
        <v>45310.416666666657</v>
      </c>
      <c r="G5" s="5" t="s">
        <v>27</v>
      </c>
      <c r="H5" s="5" t="s">
        <v>1495</v>
      </c>
      <c r="I5" s="5" t="s">
        <v>847</v>
      </c>
      <c r="J5" s="5" t="s">
        <v>848</v>
      </c>
      <c r="K5" s="5" t="s">
        <v>1496</v>
      </c>
      <c r="L5" s="5" t="s">
        <v>872</v>
      </c>
      <c r="M5" s="5" t="s">
        <v>113</v>
      </c>
      <c r="N5" s="5" t="s">
        <v>839</v>
      </c>
      <c r="O5" s="5" t="s">
        <v>113</v>
      </c>
      <c r="P5" s="5" t="s">
        <v>841</v>
      </c>
      <c r="Q5" s="5" t="s">
        <v>422</v>
      </c>
      <c r="R5" s="5" t="s">
        <v>874</v>
      </c>
      <c r="S5" s="7" t="s">
        <v>679</v>
      </c>
    </row>
    <row r="6" spans="1:19" ht="44" customHeight="1">
      <c r="A6" s="5" t="s">
        <v>12</v>
      </c>
      <c r="B6" s="5" t="s">
        <v>1497</v>
      </c>
      <c r="C6" s="5" t="s">
        <v>1498</v>
      </c>
      <c r="D6" s="6"/>
      <c r="E6" s="8">
        <v>45302.762499999997</v>
      </c>
      <c r="F6" s="16">
        <v>45313.625</v>
      </c>
      <c r="G6" s="5" t="s">
        <v>27</v>
      </c>
      <c r="H6" s="5" t="s">
        <v>113</v>
      </c>
      <c r="I6" s="17" t="s">
        <v>851</v>
      </c>
      <c r="J6" s="5" t="s">
        <v>852</v>
      </c>
      <c r="K6" s="5" t="s">
        <v>113</v>
      </c>
      <c r="L6" s="5" t="s">
        <v>113</v>
      </c>
      <c r="M6" s="5" t="s">
        <v>113</v>
      </c>
      <c r="N6" s="5" t="s">
        <v>839</v>
      </c>
      <c r="O6" s="5" t="s">
        <v>113</v>
      </c>
      <c r="P6" s="5" t="s">
        <v>841</v>
      </c>
      <c r="Q6" s="5" t="s">
        <v>1403</v>
      </c>
      <c r="R6" s="5" t="s">
        <v>874</v>
      </c>
      <c r="S6" s="7" t="s">
        <v>1499</v>
      </c>
    </row>
    <row r="7" spans="1:19" ht="44" customHeight="1">
      <c r="A7" s="5" t="s">
        <v>12</v>
      </c>
      <c r="B7" s="5" t="s">
        <v>609</v>
      </c>
      <c r="C7" s="5" t="s">
        <v>610</v>
      </c>
      <c r="D7" s="6">
        <v>195784400</v>
      </c>
      <c r="E7" s="8">
        <v>45321.743750000001</v>
      </c>
      <c r="F7" s="16">
        <v>45342.583333333343</v>
      </c>
      <c r="G7" s="5" t="s">
        <v>27</v>
      </c>
      <c r="H7" s="5" t="s">
        <v>1500</v>
      </c>
      <c r="I7" s="5" t="s">
        <v>847</v>
      </c>
      <c r="J7" s="5" t="s">
        <v>848</v>
      </c>
      <c r="K7" s="5" t="s">
        <v>868</v>
      </c>
      <c r="L7" s="5" t="s">
        <v>1015</v>
      </c>
      <c r="M7" s="5" t="s">
        <v>113</v>
      </c>
      <c r="N7" s="5" t="s">
        <v>893</v>
      </c>
      <c r="O7" s="5" t="s">
        <v>840</v>
      </c>
      <c r="P7" s="5" t="s">
        <v>841</v>
      </c>
      <c r="Q7" s="5" t="s">
        <v>422</v>
      </c>
      <c r="R7" s="5" t="s">
        <v>874</v>
      </c>
      <c r="S7" s="7" t="s">
        <v>611</v>
      </c>
    </row>
    <row r="8" spans="1:19" ht="44" customHeight="1">
      <c r="A8" s="5" t="s">
        <v>12</v>
      </c>
      <c r="B8" s="5" t="s">
        <v>1501</v>
      </c>
      <c r="C8" s="5" t="s">
        <v>1174</v>
      </c>
      <c r="D8" s="6">
        <v>50000000</v>
      </c>
      <c r="E8" s="8">
        <v>45322.334027777782</v>
      </c>
      <c r="F8" s="16">
        <v>45328.583333333343</v>
      </c>
      <c r="G8" s="5" t="s">
        <v>27</v>
      </c>
      <c r="H8" s="5" t="s">
        <v>1502</v>
      </c>
      <c r="I8" s="5" t="s">
        <v>847</v>
      </c>
      <c r="J8" s="5" t="s">
        <v>848</v>
      </c>
      <c r="K8" s="5" t="s">
        <v>849</v>
      </c>
      <c r="L8" s="5" t="s">
        <v>113</v>
      </c>
      <c r="M8" s="5" t="s">
        <v>113</v>
      </c>
      <c r="N8" s="5" t="s">
        <v>839</v>
      </c>
      <c r="O8" s="5" t="s">
        <v>113</v>
      </c>
      <c r="P8" s="5" t="s">
        <v>841</v>
      </c>
      <c r="Q8" s="5" t="s">
        <v>597</v>
      </c>
      <c r="R8" s="5" t="s">
        <v>874</v>
      </c>
      <c r="S8" s="7" t="s">
        <v>1503</v>
      </c>
    </row>
    <row r="9" spans="1:19" ht="44" customHeight="1">
      <c r="A9" s="5" t="s">
        <v>12</v>
      </c>
      <c r="B9" s="5" t="s">
        <v>1504</v>
      </c>
      <c r="C9" s="5" t="s">
        <v>1505</v>
      </c>
      <c r="D9" s="6">
        <v>24255000</v>
      </c>
      <c r="E9" s="8">
        <v>45344.677083333343</v>
      </c>
      <c r="F9" s="16">
        <v>45350.416666666657</v>
      </c>
      <c r="G9" s="5" t="s">
        <v>27</v>
      </c>
      <c r="H9" s="5" t="s">
        <v>1506</v>
      </c>
      <c r="I9" s="5" t="s">
        <v>847</v>
      </c>
      <c r="J9" s="5" t="s">
        <v>848</v>
      </c>
      <c r="K9" s="5" t="s">
        <v>849</v>
      </c>
      <c r="L9" s="5" t="s">
        <v>113</v>
      </c>
      <c r="M9" s="5" t="s">
        <v>113</v>
      </c>
      <c r="N9" s="5" t="s">
        <v>839</v>
      </c>
      <c r="O9" s="5" t="s">
        <v>113</v>
      </c>
      <c r="P9" s="5" t="s">
        <v>841</v>
      </c>
      <c r="Q9" s="5" t="s">
        <v>597</v>
      </c>
      <c r="R9" s="5" t="s">
        <v>874</v>
      </c>
      <c r="S9" s="7" t="s">
        <v>1507</v>
      </c>
    </row>
    <row r="10" spans="1:19" ht="44" customHeight="1">
      <c r="A10" s="5" t="s">
        <v>12</v>
      </c>
      <c r="B10" s="5" t="s">
        <v>714</v>
      </c>
      <c r="C10" s="5" t="s">
        <v>715</v>
      </c>
      <c r="D10" s="6">
        <v>100000000</v>
      </c>
      <c r="E10" s="8">
        <v>45358.762499999997</v>
      </c>
      <c r="F10" s="16">
        <v>45369.708333333343</v>
      </c>
      <c r="G10" s="5" t="s">
        <v>27</v>
      </c>
      <c r="H10" s="5" t="s">
        <v>881</v>
      </c>
      <c r="I10" s="5" t="s">
        <v>847</v>
      </c>
      <c r="J10" s="5" t="s">
        <v>848</v>
      </c>
      <c r="K10" s="5" t="s">
        <v>868</v>
      </c>
      <c r="L10" s="5" t="s">
        <v>113</v>
      </c>
      <c r="M10" s="5" t="s">
        <v>853</v>
      </c>
      <c r="N10" s="5" t="s">
        <v>839</v>
      </c>
      <c r="O10" s="5" t="s">
        <v>840</v>
      </c>
      <c r="P10" s="5" t="s">
        <v>841</v>
      </c>
      <c r="Q10" s="5" t="s">
        <v>441</v>
      </c>
      <c r="R10" s="5" t="s">
        <v>843</v>
      </c>
      <c r="S10" s="7" t="s">
        <v>1508</v>
      </c>
    </row>
    <row r="11" spans="1:19" ht="44" customHeight="1">
      <c r="A11" s="5" t="s">
        <v>12</v>
      </c>
      <c r="B11" s="5" t="s">
        <v>1509</v>
      </c>
      <c r="C11" s="5" t="s">
        <v>584</v>
      </c>
      <c r="D11" s="6">
        <v>231300000</v>
      </c>
      <c r="E11" s="8">
        <v>45365.59375</v>
      </c>
      <c r="F11" s="16">
        <v>45379.458333333343</v>
      </c>
      <c r="G11" s="5" t="s">
        <v>27</v>
      </c>
      <c r="H11" s="5" t="s">
        <v>113</v>
      </c>
      <c r="I11" s="17" t="s">
        <v>851</v>
      </c>
      <c r="J11" s="5" t="s">
        <v>852</v>
      </c>
      <c r="K11" s="5" t="s">
        <v>113</v>
      </c>
      <c r="L11" s="5" t="s">
        <v>113</v>
      </c>
      <c r="M11" s="5" t="s">
        <v>853</v>
      </c>
      <c r="N11" s="5" t="s">
        <v>839</v>
      </c>
      <c r="O11" s="5" t="s">
        <v>841</v>
      </c>
      <c r="P11" s="5" t="s">
        <v>841</v>
      </c>
      <c r="Q11" s="5" t="s">
        <v>1510</v>
      </c>
      <c r="R11" s="5" t="s">
        <v>843</v>
      </c>
      <c r="S11" s="7" t="s">
        <v>1511</v>
      </c>
    </row>
    <row r="12" spans="1:19" ht="44" customHeight="1">
      <c r="A12" s="5" t="s">
        <v>12</v>
      </c>
      <c r="B12" s="5" t="s">
        <v>770</v>
      </c>
      <c r="C12" s="5" t="s">
        <v>712</v>
      </c>
      <c r="D12" s="6">
        <v>43000000</v>
      </c>
      <c r="E12" s="8">
        <v>45369.426388888889</v>
      </c>
      <c r="F12" s="16">
        <v>45380.416666666657</v>
      </c>
      <c r="G12" s="5" t="s">
        <v>27</v>
      </c>
      <c r="H12" s="5" t="s">
        <v>113</v>
      </c>
      <c r="I12" s="17" t="s">
        <v>851</v>
      </c>
      <c r="J12" s="5" t="s">
        <v>852</v>
      </c>
      <c r="K12" s="5" t="s">
        <v>113</v>
      </c>
      <c r="L12" s="5" t="s">
        <v>113</v>
      </c>
      <c r="M12" s="5" t="s">
        <v>853</v>
      </c>
      <c r="N12" s="5" t="s">
        <v>839</v>
      </c>
      <c r="O12" s="5" t="s">
        <v>840</v>
      </c>
      <c r="P12" s="5" t="s">
        <v>841</v>
      </c>
      <c r="Q12" s="5" t="s">
        <v>441</v>
      </c>
      <c r="R12" s="5" t="s">
        <v>843</v>
      </c>
      <c r="S12" s="7" t="s">
        <v>1512</v>
      </c>
    </row>
    <row r="13" spans="1:19" ht="44" customHeight="1">
      <c r="A13" s="5" t="s">
        <v>12</v>
      </c>
      <c r="B13" s="5" t="s">
        <v>770</v>
      </c>
      <c r="C13" s="5" t="s">
        <v>712</v>
      </c>
      <c r="D13" s="6">
        <v>43000000</v>
      </c>
      <c r="E13" s="8">
        <v>45369.45208333333</v>
      </c>
      <c r="F13" s="16">
        <v>45380.416666666657</v>
      </c>
      <c r="G13" s="5" t="s">
        <v>27</v>
      </c>
      <c r="H13" s="5" t="s">
        <v>113</v>
      </c>
      <c r="I13" s="17" t="s">
        <v>851</v>
      </c>
      <c r="J13" s="5" t="s">
        <v>852</v>
      </c>
      <c r="K13" s="5" t="s">
        <v>113</v>
      </c>
      <c r="L13" s="5" t="s">
        <v>113</v>
      </c>
      <c r="M13" s="5" t="s">
        <v>113</v>
      </c>
      <c r="N13" s="5" t="s">
        <v>839</v>
      </c>
      <c r="O13" s="5" t="s">
        <v>113</v>
      </c>
      <c r="P13" s="5" t="s">
        <v>841</v>
      </c>
      <c r="Q13" s="5" t="s">
        <v>441</v>
      </c>
      <c r="R13" s="5" t="s">
        <v>874</v>
      </c>
      <c r="S13" s="7" t="s">
        <v>1513</v>
      </c>
    </row>
    <row r="14" spans="1:19" ht="44" customHeight="1">
      <c r="A14" s="5" t="s">
        <v>12</v>
      </c>
      <c r="B14" s="5" t="s">
        <v>770</v>
      </c>
      <c r="C14" s="5" t="s">
        <v>712</v>
      </c>
      <c r="D14" s="6">
        <v>43000000</v>
      </c>
      <c r="E14" s="8">
        <v>45369.456944444442</v>
      </c>
      <c r="F14" s="16">
        <v>45380.416666666657</v>
      </c>
      <c r="G14" s="5" t="s">
        <v>27</v>
      </c>
      <c r="H14" s="5" t="s">
        <v>113</v>
      </c>
      <c r="I14" s="17" t="s">
        <v>851</v>
      </c>
      <c r="J14" s="5" t="s">
        <v>852</v>
      </c>
      <c r="K14" s="5" t="s">
        <v>113</v>
      </c>
      <c r="L14" s="5" t="s">
        <v>113</v>
      </c>
      <c r="M14" s="5" t="s">
        <v>853</v>
      </c>
      <c r="N14" s="5" t="s">
        <v>839</v>
      </c>
      <c r="O14" s="5" t="s">
        <v>840</v>
      </c>
      <c r="P14" s="5" t="s">
        <v>841</v>
      </c>
      <c r="Q14" s="5" t="s">
        <v>441</v>
      </c>
      <c r="R14" s="5" t="s">
        <v>843</v>
      </c>
      <c r="S14" s="7" t="s">
        <v>771</v>
      </c>
    </row>
    <row r="15" spans="1:19" ht="44" customHeight="1">
      <c r="A15" s="5" t="s">
        <v>12</v>
      </c>
      <c r="B15" s="5" t="s">
        <v>1509</v>
      </c>
      <c r="C15" s="5" t="s">
        <v>584</v>
      </c>
      <c r="D15" s="6">
        <v>231300000</v>
      </c>
      <c r="E15" s="8">
        <v>45369.612500000003</v>
      </c>
      <c r="F15" s="16">
        <v>45379.458333333343</v>
      </c>
      <c r="G15" s="5" t="s">
        <v>27</v>
      </c>
      <c r="H15" s="5" t="s">
        <v>113</v>
      </c>
      <c r="I15" s="17" t="s">
        <v>851</v>
      </c>
      <c r="J15" s="5" t="s">
        <v>852</v>
      </c>
      <c r="K15" s="5" t="s">
        <v>113</v>
      </c>
      <c r="L15" s="5" t="s">
        <v>113</v>
      </c>
      <c r="M15" s="5" t="s">
        <v>853</v>
      </c>
      <c r="N15" s="5" t="s">
        <v>839</v>
      </c>
      <c r="O15" s="5" t="s">
        <v>841</v>
      </c>
      <c r="P15" s="5" t="s">
        <v>841</v>
      </c>
      <c r="Q15" s="5" t="s">
        <v>1510</v>
      </c>
      <c r="R15" s="5" t="s">
        <v>843</v>
      </c>
      <c r="S15" s="7" t="s">
        <v>1514</v>
      </c>
    </row>
    <row r="16" spans="1:19" ht="44" customHeight="1">
      <c r="A16" s="5" t="s">
        <v>12</v>
      </c>
      <c r="B16" s="5" t="s">
        <v>1515</v>
      </c>
      <c r="C16" s="5" t="s">
        <v>558</v>
      </c>
      <c r="D16" s="6">
        <v>60000000</v>
      </c>
      <c r="E16" s="8">
        <v>45378.554861111108</v>
      </c>
      <c r="F16" s="16">
        <v>45391.5</v>
      </c>
      <c r="G16" s="5" t="s">
        <v>27</v>
      </c>
      <c r="H16" s="5" t="s">
        <v>1516</v>
      </c>
      <c r="I16" s="17" t="s">
        <v>851</v>
      </c>
      <c r="J16" s="5" t="s">
        <v>852</v>
      </c>
      <c r="K16" s="5" t="s">
        <v>113</v>
      </c>
      <c r="L16" s="5" t="s">
        <v>113</v>
      </c>
      <c r="M16" s="5" t="s">
        <v>113</v>
      </c>
      <c r="N16" s="5" t="s">
        <v>893</v>
      </c>
      <c r="O16" s="5" t="s">
        <v>113</v>
      </c>
      <c r="P16" s="5" t="s">
        <v>841</v>
      </c>
      <c r="Q16" s="5" t="s">
        <v>441</v>
      </c>
      <c r="R16" s="5" t="s">
        <v>874</v>
      </c>
      <c r="S16" s="7" t="s">
        <v>1517</v>
      </c>
    </row>
    <row r="17" spans="1:19" ht="44" customHeight="1">
      <c r="A17" s="5" t="s">
        <v>12</v>
      </c>
      <c r="B17" s="5" t="s">
        <v>1518</v>
      </c>
      <c r="C17" s="5" t="s">
        <v>1519</v>
      </c>
      <c r="D17" s="6">
        <v>33000000</v>
      </c>
      <c r="E17" s="8">
        <v>45404.568749999999</v>
      </c>
      <c r="F17" s="16">
        <v>45404.625</v>
      </c>
      <c r="G17" s="5" t="s">
        <v>27</v>
      </c>
      <c r="H17" s="5" t="s">
        <v>1520</v>
      </c>
      <c r="I17" s="17" t="s">
        <v>851</v>
      </c>
      <c r="J17" s="5" t="s">
        <v>852</v>
      </c>
      <c r="K17" s="5" t="s">
        <v>113</v>
      </c>
      <c r="L17" s="5" t="s">
        <v>113</v>
      </c>
      <c r="M17" s="5" t="s">
        <v>113</v>
      </c>
      <c r="N17" s="5" t="s">
        <v>839</v>
      </c>
      <c r="O17" s="5" t="s">
        <v>113</v>
      </c>
      <c r="P17" s="5" t="s">
        <v>841</v>
      </c>
      <c r="Q17" s="5" t="s">
        <v>597</v>
      </c>
      <c r="R17" s="5" t="s">
        <v>874</v>
      </c>
      <c r="S17" s="7" t="s">
        <v>1521</v>
      </c>
    </row>
    <row r="18" spans="1:19" ht="44" customHeight="1">
      <c r="A18" s="5" t="s">
        <v>12</v>
      </c>
      <c r="B18" s="5" t="s">
        <v>1522</v>
      </c>
      <c r="C18" s="5" t="s">
        <v>678</v>
      </c>
      <c r="D18" s="6">
        <v>99900000</v>
      </c>
      <c r="E18" s="8">
        <v>45407.382638888892</v>
      </c>
      <c r="F18" s="16">
        <v>45419.416666666657</v>
      </c>
      <c r="G18" s="5" t="s">
        <v>27</v>
      </c>
      <c r="H18" s="5" t="s">
        <v>1022</v>
      </c>
      <c r="I18" s="5" t="s">
        <v>847</v>
      </c>
      <c r="J18" s="5" t="s">
        <v>848</v>
      </c>
      <c r="K18" s="5" t="s">
        <v>1496</v>
      </c>
      <c r="L18" s="5" t="s">
        <v>113</v>
      </c>
      <c r="M18" s="5" t="s">
        <v>853</v>
      </c>
      <c r="N18" s="5" t="s">
        <v>839</v>
      </c>
      <c r="O18" s="5" t="s">
        <v>840</v>
      </c>
      <c r="P18" s="5" t="s">
        <v>841</v>
      </c>
      <c r="Q18" s="5" t="s">
        <v>441</v>
      </c>
      <c r="R18" s="5" t="s">
        <v>843</v>
      </c>
      <c r="S18" s="7" t="s">
        <v>1523</v>
      </c>
    </row>
    <row r="19" spans="1:19" ht="44" customHeight="1">
      <c r="A19" s="5" t="s">
        <v>12</v>
      </c>
      <c r="B19" s="5" t="s">
        <v>1524</v>
      </c>
      <c r="C19" s="5" t="s">
        <v>48</v>
      </c>
      <c r="D19" s="6">
        <v>180000000</v>
      </c>
      <c r="E19" s="8">
        <v>45421.474305555559</v>
      </c>
      <c r="F19" s="16">
        <v>45442.458333333343</v>
      </c>
      <c r="G19" s="5" t="s">
        <v>27</v>
      </c>
      <c r="H19" s="5" t="s">
        <v>113</v>
      </c>
      <c r="I19" s="5" t="s">
        <v>847</v>
      </c>
      <c r="J19" s="5" t="s">
        <v>848</v>
      </c>
      <c r="K19" s="5" t="s">
        <v>1525</v>
      </c>
      <c r="L19" s="5" t="s">
        <v>113</v>
      </c>
      <c r="M19" s="5" t="s">
        <v>853</v>
      </c>
      <c r="N19" s="5" t="s">
        <v>839</v>
      </c>
      <c r="O19" s="5" t="s">
        <v>113</v>
      </c>
      <c r="P19" s="5" t="s">
        <v>841</v>
      </c>
      <c r="Q19" s="5" t="s">
        <v>441</v>
      </c>
      <c r="R19" s="5" t="s">
        <v>843</v>
      </c>
      <c r="S19" s="7" t="s">
        <v>1526</v>
      </c>
    </row>
    <row r="20" spans="1:19" ht="44" customHeight="1">
      <c r="A20" s="5" t="s">
        <v>12</v>
      </c>
      <c r="B20" s="5" t="s">
        <v>1527</v>
      </c>
      <c r="C20" s="5" t="s">
        <v>1238</v>
      </c>
      <c r="D20" s="6">
        <v>35000000</v>
      </c>
      <c r="E20" s="8">
        <v>45425.428472222222</v>
      </c>
      <c r="F20" s="16">
        <v>45436.708333333343</v>
      </c>
      <c r="G20" s="5" t="s">
        <v>27</v>
      </c>
      <c r="H20" s="5" t="s">
        <v>1025</v>
      </c>
      <c r="I20" s="17" t="s">
        <v>851</v>
      </c>
      <c r="J20" s="5" t="s">
        <v>852</v>
      </c>
      <c r="K20" s="5" t="s">
        <v>113</v>
      </c>
      <c r="L20" s="5" t="s">
        <v>113</v>
      </c>
      <c r="M20" s="5" t="s">
        <v>853</v>
      </c>
      <c r="N20" s="5" t="s">
        <v>839</v>
      </c>
      <c r="O20" s="5" t="s">
        <v>841</v>
      </c>
      <c r="P20" s="5" t="s">
        <v>841</v>
      </c>
      <c r="Q20" s="5" t="s">
        <v>441</v>
      </c>
      <c r="R20" s="5" t="s">
        <v>843</v>
      </c>
      <c r="S20" s="7" t="s">
        <v>1528</v>
      </c>
    </row>
    <row r="21" spans="1:19" ht="44" customHeight="1">
      <c r="A21" s="5" t="s">
        <v>12</v>
      </c>
      <c r="B21" s="5" t="s">
        <v>1529</v>
      </c>
      <c r="C21" s="5" t="s">
        <v>892</v>
      </c>
      <c r="D21" s="6">
        <v>74673407</v>
      </c>
      <c r="E21" s="8">
        <v>45432.452777777777</v>
      </c>
      <c r="F21" s="16">
        <v>45453.666666666657</v>
      </c>
      <c r="G21" s="5" t="s">
        <v>27</v>
      </c>
      <c r="H21" s="5" t="s">
        <v>113</v>
      </c>
      <c r="I21" s="17" t="s">
        <v>851</v>
      </c>
      <c r="J21" s="5" t="s">
        <v>852</v>
      </c>
      <c r="K21" s="5" t="s">
        <v>113</v>
      </c>
      <c r="L21" s="5" t="s">
        <v>113</v>
      </c>
      <c r="M21" s="5" t="s">
        <v>853</v>
      </c>
      <c r="N21" s="5" t="s">
        <v>893</v>
      </c>
      <c r="O21" s="5" t="s">
        <v>840</v>
      </c>
      <c r="P21" s="5" t="s">
        <v>841</v>
      </c>
      <c r="Q21" s="5" t="s">
        <v>441</v>
      </c>
      <c r="R21" s="5" t="s">
        <v>843</v>
      </c>
      <c r="S21" s="7" t="s">
        <v>1530</v>
      </c>
    </row>
    <row r="22" spans="1:19" ht="44" customHeight="1">
      <c r="A22" s="5" t="s">
        <v>12</v>
      </c>
      <c r="B22" s="5" t="s">
        <v>674</v>
      </c>
      <c r="C22" s="5" t="s">
        <v>675</v>
      </c>
      <c r="D22" s="6">
        <v>99900000</v>
      </c>
      <c r="E22" s="8">
        <v>45436.366666666669</v>
      </c>
      <c r="F22" s="16">
        <v>45447.416666666657</v>
      </c>
      <c r="G22" s="5" t="s">
        <v>27</v>
      </c>
      <c r="H22" s="5" t="s">
        <v>1531</v>
      </c>
      <c r="I22" s="5" t="s">
        <v>847</v>
      </c>
      <c r="J22" s="5" t="s">
        <v>848</v>
      </c>
      <c r="K22" s="5" t="s">
        <v>942</v>
      </c>
      <c r="L22" s="5" t="s">
        <v>1308</v>
      </c>
      <c r="M22" s="5" t="s">
        <v>853</v>
      </c>
      <c r="N22" s="5" t="s">
        <v>839</v>
      </c>
      <c r="O22" s="5" t="s">
        <v>840</v>
      </c>
      <c r="P22" s="5" t="s">
        <v>841</v>
      </c>
      <c r="Q22" s="5" t="s">
        <v>441</v>
      </c>
      <c r="R22" s="5" t="s">
        <v>843</v>
      </c>
      <c r="S22" s="7" t="s">
        <v>676</v>
      </c>
    </row>
    <row r="23" spans="1:19" ht="44" customHeight="1">
      <c r="A23" s="5" t="s">
        <v>12</v>
      </c>
      <c r="B23" s="5" t="s">
        <v>1532</v>
      </c>
      <c r="C23" s="5" t="s">
        <v>1315</v>
      </c>
      <c r="D23" s="6">
        <v>99000000</v>
      </c>
      <c r="E23" s="8">
        <v>45443.330555555563</v>
      </c>
      <c r="F23" s="16">
        <v>45454.416666666657</v>
      </c>
      <c r="G23" s="5" t="s">
        <v>27</v>
      </c>
      <c r="H23" s="5" t="s">
        <v>113</v>
      </c>
      <c r="I23" s="5" t="s">
        <v>847</v>
      </c>
      <c r="J23" s="5" t="s">
        <v>848</v>
      </c>
      <c r="K23" s="5" t="s">
        <v>942</v>
      </c>
      <c r="L23" s="5" t="s">
        <v>872</v>
      </c>
      <c r="M23" s="5" t="s">
        <v>853</v>
      </c>
      <c r="N23" s="5" t="s">
        <v>839</v>
      </c>
      <c r="O23" s="5" t="s">
        <v>840</v>
      </c>
      <c r="P23" s="5" t="s">
        <v>841</v>
      </c>
      <c r="Q23" s="5" t="s">
        <v>441</v>
      </c>
      <c r="R23" s="5" t="s">
        <v>843</v>
      </c>
      <c r="S23" s="7" t="s">
        <v>1533</v>
      </c>
    </row>
    <row r="24" spans="1:19" ht="44" customHeight="1">
      <c r="A24" s="5" t="s">
        <v>12</v>
      </c>
      <c r="B24" s="5" t="s">
        <v>1534</v>
      </c>
      <c r="C24" s="5" t="s">
        <v>418</v>
      </c>
      <c r="D24" s="6">
        <v>32000000</v>
      </c>
      <c r="E24" s="8">
        <v>45447.605555555558</v>
      </c>
      <c r="F24" s="16">
        <v>45462.583333333343</v>
      </c>
      <c r="G24" s="5" t="s">
        <v>27</v>
      </c>
      <c r="H24" s="5" t="s">
        <v>1253</v>
      </c>
      <c r="I24" s="17" t="s">
        <v>851</v>
      </c>
      <c r="J24" s="5" t="s">
        <v>852</v>
      </c>
      <c r="K24" s="5" t="s">
        <v>113</v>
      </c>
      <c r="L24" s="5" t="s">
        <v>113</v>
      </c>
      <c r="M24" s="5" t="s">
        <v>853</v>
      </c>
      <c r="N24" s="5" t="s">
        <v>839</v>
      </c>
      <c r="O24" s="5" t="s">
        <v>840</v>
      </c>
      <c r="P24" s="5" t="s">
        <v>841</v>
      </c>
      <c r="Q24" s="5" t="s">
        <v>441</v>
      </c>
      <c r="R24" s="5" t="s">
        <v>843</v>
      </c>
      <c r="S24" s="7" t="s">
        <v>1535</v>
      </c>
    </row>
    <row r="25" spans="1:19" ht="44" customHeight="1">
      <c r="A25" s="5" t="s">
        <v>12</v>
      </c>
      <c r="B25" s="5" t="s">
        <v>1536</v>
      </c>
      <c r="C25" s="5" t="s">
        <v>1537</v>
      </c>
      <c r="D25" s="6">
        <v>50000000</v>
      </c>
      <c r="E25" s="8">
        <v>45453.761111111111</v>
      </c>
      <c r="F25" s="16">
        <v>45464.458333333343</v>
      </c>
      <c r="G25" s="5" t="s">
        <v>27</v>
      </c>
      <c r="H25" s="5" t="s">
        <v>113</v>
      </c>
      <c r="I25" s="5" t="s">
        <v>847</v>
      </c>
      <c r="J25" s="5" t="s">
        <v>848</v>
      </c>
      <c r="K25" s="5" t="s">
        <v>1538</v>
      </c>
      <c r="L25" s="5" t="s">
        <v>113</v>
      </c>
      <c r="M25" s="5" t="s">
        <v>853</v>
      </c>
      <c r="N25" s="5" t="s">
        <v>839</v>
      </c>
      <c r="O25" s="5" t="s">
        <v>840</v>
      </c>
      <c r="P25" s="5" t="s">
        <v>841</v>
      </c>
      <c r="Q25" s="5" t="s">
        <v>441</v>
      </c>
      <c r="R25" s="5" t="s">
        <v>843</v>
      </c>
      <c r="S25" s="7" t="s">
        <v>1539</v>
      </c>
    </row>
    <row r="26" spans="1:19" ht="44" customHeight="1">
      <c r="A26" s="5" t="s">
        <v>12</v>
      </c>
      <c r="B26" s="5" t="s">
        <v>1540</v>
      </c>
      <c r="C26" s="5" t="s">
        <v>1537</v>
      </c>
      <c r="D26" s="6">
        <v>60000000</v>
      </c>
      <c r="E26" s="8">
        <v>45453.762499999997</v>
      </c>
      <c r="F26" s="16">
        <v>45467.458333333343</v>
      </c>
      <c r="G26" s="5" t="s">
        <v>27</v>
      </c>
      <c r="H26" s="5" t="s">
        <v>1541</v>
      </c>
      <c r="I26" s="5" t="s">
        <v>847</v>
      </c>
      <c r="J26" s="5" t="s">
        <v>848</v>
      </c>
      <c r="K26" s="5" t="s">
        <v>1542</v>
      </c>
      <c r="L26" s="5" t="s">
        <v>113</v>
      </c>
      <c r="M26" s="5" t="s">
        <v>853</v>
      </c>
      <c r="N26" s="5" t="s">
        <v>839</v>
      </c>
      <c r="O26" s="5" t="s">
        <v>840</v>
      </c>
      <c r="P26" s="5" t="s">
        <v>841</v>
      </c>
      <c r="Q26" s="5" t="s">
        <v>441</v>
      </c>
      <c r="R26" s="5" t="s">
        <v>843</v>
      </c>
      <c r="S26" s="7" t="s">
        <v>1543</v>
      </c>
    </row>
    <row r="27" spans="1:19" ht="44" customHeight="1">
      <c r="A27" s="5" t="s">
        <v>12</v>
      </c>
      <c r="B27" s="5" t="s">
        <v>1544</v>
      </c>
      <c r="C27" s="5" t="s">
        <v>477</v>
      </c>
      <c r="D27" s="6">
        <v>137900000</v>
      </c>
      <c r="E27" s="8">
        <v>45454.392361111109</v>
      </c>
      <c r="F27" s="16">
        <v>45475.666666666657</v>
      </c>
      <c r="G27" s="5" t="s">
        <v>27</v>
      </c>
      <c r="H27" s="5" t="s">
        <v>1545</v>
      </c>
      <c r="I27" s="5" t="s">
        <v>847</v>
      </c>
      <c r="J27" s="5" t="s">
        <v>848</v>
      </c>
      <c r="K27" s="5" t="s">
        <v>868</v>
      </c>
      <c r="L27" s="5" t="s">
        <v>113</v>
      </c>
      <c r="M27" s="5" t="s">
        <v>853</v>
      </c>
      <c r="N27" s="5" t="s">
        <v>839</v>
      </c>
      <c r="O27" s="5" t="s">
        <v>840</v>
      </c>
      <c r="P27" s="5" t="s">
        <v>841</v>
      </c>
      <c r="Q27" s="5" t="s">
        <v>441</v>
      </c>
      <c r="R27" s="5" t="s">
        <v>843</v>
      </c>
      <c r="S27" s="7" t="s">
        <v>1546</v>
      </c>
    </row>
    <row r="28" spans="1:19" ht="44" customHeight="1">
      <c r="A28" s="5" t="s">
        <v>12</v>
      </c>
      <c r="B28" s="5" t="s">
        <v>1547</v>
      </c>
      <c r="C28" s="5" t="s">
        <v>752</v>
      </c>
      <c r="D28" s="6">
        <v>210176373</v>
      </c>
      <c r="E28" s="8">
        <v>45455.624305555553</v>
      </c>
      <c r="F28" s="16">
        <v>45457.416666666657</v>
      </c>
      <c r="G28" s="5" t="s">
        <v>27</v>
      </c>
      <c r="H28" s="5" t="s">
        <v>1548</v>
      </c>
      <c r="I28" s="5" t="s">
        <v>847</v>
      </c>
      <c r="J28" s="5" t="s">
        <v>848</v>
      </c>
      <c r="K28" s="5" t="s">
        <v>1549</v>
      </c>
      <c r="L28" s="5" t="s">
        <v>872</v>
      </c>
      <c r="M28" s="5" t="s">
        <v>853</v>
      </c>
      <c r="N28" s="5" t="s">
        <v>839</v>
      </c>
      <c r="O28" s="5" t="s">
        <v>841</v>
      </c>
      <c r="P28" s="5" t="s">
        <v>841</v>
      </c>
      <c r="Q28" s="5" t="s">
        <v>1550</v>
      </c>
      <c r="R28" s="5" t="s">
        <v>843</v>
      </c>
      <c r="S28" s="7" t="s">
        <v>1551</v>
      </c>
    </row>
    <row r="29" spans="1:19" ht="44" customHeight="1">
      <c r="A29" s="5" t="s">
        <v>12</v>
      </c>
      <c r="B29" s="5" t="s">
        <v>1552</v>
      </c>
      <c r="C29" s="5" t="s">
        <v>892</v>
      </c>
      <c r="D29" s="6">
        <v>109453240</v>
      </c>
      <c r="E29" s="8">
        <v>45457.405555555553</v>
      </c>
      <c r="F29" s="16">
        <v>45471.666666666657</v>
      </c>
      <c r="G29" s="5" t="s">
        <v>27</v>
      </c>
      <c r="H29" s="5" t="s">
        <v>113</v>
      </c>
      <c r="I29" s="17" t="s">
        <v>851</v>
      </c>
      <c r="J29" s="5" t="s">
        <v>852</v>
      </c>
      <c r="K29" s="5" t="s">
        <v>113</v>
      </c>
      <c r="L29" s="5" t="s">
        <v>113</v>
      </c>
      <c r="M29" s="5" t="s">
        <v>853</v>
      </c>
      <c r="N29" s="5" t="s">
        <v>893</v>
      </c>
      <c r="O29" s="5" t="s">
        <v>840</v>
      </c>
      <c r="P29" s="5" t="s">
        <v>841</v>
      </c>
      <c r="Q29" s="5" t="s">
        <v>441</v>
      </c>
      <c r="R29" s="5" t="s">
        <v>843</v>
      </c>
      <c r="S29" s="7" t="s">
        <v>1553</v>
      </c>
    </row>
    <row r="30" spans="1:19" ht="44" customHeight="1">
      <c r="A30" s="5" t="s">
        <v>12</v>
      </c>
      <c r="B30" s="5" t="s">
        <v>1554</v>
      </c>
      <c r="C30" s="5" t="s">
        <v>892</v>
      </c>
      <c r="D30" s="6">
        <v>69890000</v>
      </c>
      <c r="E30" s="8">
        <v>45457.425694444442</v>
      </c>
      <c r="F30" s="16">
        <v>45471.666666666657</v>
      </c>
      <c r="G30" s="5" t="s">
        <v>27</v>
      </c>
      <c r="H30" s="5" t="s">
        <v>113</v>
      </c>
      <c r="I30" s="17" t="s">
        <v>851</v>
      </c>
      <c r="J30" s="5" t="s">
        <v>852</v>
      </c>
      <c r="K30" s="5" t="s">
        <v>113</v>
      </c>
      <c r="L30" s="5" t="s">
        <v>113</v>
      </c>
      <c r="M30" s="5" t="s">
        <v>853</v>
      </c>
      <c r="N30" s="5" t="s">
        <v>893</v>
      </c>
      <c r="O30" s="5" t="s">
        <v>840</v>
      </c>
      <c r="P30" s="5" t="s">
        <v>841</v>
      </c>
      <c r="Q30" s="5" t="s">
        <v>441</v>
      </c>
      <c r="R30" s="5" t="s">
        <v>843</v>
      </c>
      <c r="S30" s="7" t="s">
        <v>1555</v>
      </c>
    </row>
    <row r="31" spans="1:19" ht="44" customHeight="1">
      <c r="A31" s="5" t="s">
        <v>12</v>
      </c>
      <c r="B31" s="5" t="s">
        <v>1556</v>
      </c>
      <c r="C31" s="5" t="s">
        <v>1557</v>
      </c>
      <c r="D31" s="6">
        <v>80000000</v>
      </c>
      <c r="E31" s="8">
        <v>45460.396527777782</v>
      </c>
      <c r="F31" s="16">
        <v>45471.708333333343</v>
      </c>
      <c r="G31" s="5" t="s">
        <v>27</v>
      </c>
      <c r="H31" s="5" t="s">
        <v>1558</v>
      </c>
      <c r="I31" s="5" t="s">
        <v>847</v>
      </c>
      <c r="J31" s="5" t="s">
        <v>848</v>
      </c>
      <c r="K31" s="5" t="s">
        <v>1559</v>
      </c>
      <c r="L31" s="5" t="s">
        <v>113</v>
      </c>
      <c r="M31" s="5" t="s">
        <v>853</v>
      </c>
      <c r="N31" s="5" t="s">
        <v>839</v>
      </c>
      <c r="O31" s="5" t="s">
        <v>841</v>
      </c>
      <c r="P31" s="5" t="s">
        <v>841</v>
      </c>
      <c r="Q31" s="5" t="s">
        <v>441</v>
      </c>
      <c r="R31" s="5" t="s">
        <v>843</v>
      </c>
      <c r="S31" s="7" t="s">
        <v>1560</v>
      </c>
    </row>
    <row r="32" spans="1:19" ht="44" customHeight="1">
      <c r="A32" s="5" t="s">
        <v>12</v>
      </c>
      <c r="B32" s="5" t="s">
        <v>1561</v>
      </c>
      <c r="C32" s="5" t="s">
        <v>1562</v>
      </c>
      <c r="D32" s="6">
        <v>34000000</v>
      </c>
      <c r="E32" s="8">
        <v>45460.479861111111</v>
      </c>
      <c r="F32" s="16">
        <v>45471.708333333343</v>
      </c>
      <c r="G32" s="5" t="s">
        <v>27</v>
      </c>
      <c r="H32" s="5" t="s">
        <v>113</v>
      </c>
      <c r="I32" s="5" t="s">
        <v>837</v>
      </c>
      <c r="J32" s="5" t="s">
        <v>838</v>
      </c>
      <c r="K32" s="5" t="s">
        <v>113</v>
      </c>
      <c r="L32" s="5" t="s">
        <v>113</v>
      </c>
      <c r="M32" s="5" t="s">
        <v>99</v>
      </c>
      <c r="N32" s="5" t="s">
        <v>893</v>
      </c>
      <c r="O32" s="5" t="s">
        <v>840</v>
      </c>
      <c r="P32" s="5" t="s">
        <v>841</v>
      </c>
      <c r="Q32" s="5" t="s">
        <v>441</v>
      </c>
      <c r="R32" s="5" t="s">
        <v>843</v>
      </c>
      <c r="S32" s="7" t="s">
        <v>1563</v>
      </c>
    </row>
    <row r="33" spans="1:19" ht="44" customHeight="1">
      <c r="A33" s="5" t="s">
        <v>12</v>
      </c>
      <c r="B33" s="5" t="s">
        <v>1532</v>
      </c>
      <c r="C33" s="5" t="s">
        <v>1315</v>
      </c>
      <c r="D33" s="6">
        <v>99000000</v>
      </c>
      <c r="E33" s="8">
        <v>45460.599305555559</v>
      </c>
      <c r="F33" s="16">
        <v>45471.416666666657</v>
      </c>
      <c r="G33" s="5" t="s">
        <v>27</v>
      </c>
      <c r="H33" s="5" t="s">
        <v>113</v>
      </c>
      <c r="I33" s="5" t="s">
        <v>847</v>
      </c>
      <c r="J33" s="5" t="s">
        <v>848</v>
      </c>
      <c r="K33" s="5" t="s">
        <v>942</v>
      </c>
      <c r="L33" s="5" t="s">
        <v>872</v>
      </c>
      <c r="M33" s="5" t="s">
        <v>853</v>
      </c>
      <c r="N33" s="5" t="s">
        <v>839</v>
      </c>
      <c r="O33" s="5" t="s">
        <v>840</v>
      </c>
      <c r="P33" s="5" t="s">
        <v>841</v>
      </c>
      <c r="Q33" s="5" t="s">
        <v>441</v>
      </c>
      <c r="R33" s="5" t="s">
        <v>843</v>
      </c>
      <c r="S33" s="7" t="s">
        <v>1564</v>
      </c>
    </row>
    <row r="34" spans="1:19" ht="44" customHeight="1">
      <c r="A34" s="5" t="s">
        <v>12</v>
      </c>
      <c r="B34" s="5" t="s">
        <v>1532</v>
      </c>
      <c r="C34" s="5" t="s">
        <v>1315</v>
      </c>
      <c r="D34" s="6">
        <v>99000000</v>
      </c>
      <c r="E34" s="8">
        <v>45460.603472222218</v>
      </c>
      <c r="F34" s="16">
        <v>45471.416666666657</v>
      </c>
      <c r="G34" s="5" t="s">
        <v>27</v>
      </c>
      <c r="H34" s="5" t="s">
        <v>113</v>
      </c>
      <c r="I34" s="5" t="s">
        <v>847</v>
      </c>
      <c r="J34" s="5" t="s">
        <v>848</v>
      </c>
      <c r="K34" s="5" t="s">
        <v>942</v>
      </c>
      <c r="L34" s="5" t="s">
        <v>872</v>
      </c>
      <c r="M34" s="5" t="s">
        <v>853</v>
      </c>
      <c r="N34" s="5" t="s">
        <v>839</v>
      </c>
      <c r="O34" s="5" t="s">
        <v>840</v>
      </c>
      <c r="P34" s="5" t="s">
        <v>841</v>
      </c>
      <c r="Q34" s="5" t="s">
        <v>441</v>
      </c>
      <c r="R34" s="5" t="s">
        <v>843</v>
      </c>
      <c r="S34" s="7" t="s">
        <v>1565</v>
      </c>
    </row>
    <row r="35" spans="1:19" ht="44" customHeight="1">
      <c r="A35" s="5" t="s">
        <v>12</v>
      </c>
      <c r="B35" s="5" t="s">
        <v>1566</v>
      </c>
      <c r="C35" s="5" t="s">
        <v>1567</v>
      </c>
      <c r="D35" s="6">
        <v>38500000</v>
      </c>
      <c r="E35" s="8">
        <v>45462.393055555563</v>
      </c>
      <c r="F35" s="16">
        <v>45474.666666666657</v>
      </c>
      <c r="G35" s="5" t="s">
        <v>27</v>
      </c>
      <c r="H35" s="5" t="s">
        <v>113</v>
      </c>
      <c r="I35" s="17" t="s">
        <v>851</v>
      </c>
      <c r="J35" s="5" t="s">
        <v>852</v>
      </c>
      <c r="K35" s="5" t="s">
        <v>113</v>
      </c>
      <c r="L35" s="5" t="s">
        <v>113</v>
      </c>
      <c r="M35" s="5" t="s">
        <v>853</v>
      </c>
      <c r="N35" s="5" t="s">
        <v>839</v>
      </c>
      <c r="O35" s="5" t="s">
        <v>841</v>
      </c>
      <c r="P35" s="5" t="s">
        <v>841</v>
      </c>
      <c r="Q35" s="5" t="s">
        <v>441</v>
      </c>
      <c r="R35" s="5" t="s">
        <v>843</v>
      </c>
      <c r="S35" s="7" t="s">
        <v>1568</v>
      </c>
    </row>
    <row r="36" spans="1:19" ht="44" customHeight="1">
      <c r="A36" s="5" t="s">
        <v>12</v>
      </c>
      <c r="B36" s="5" t="s">
        <v>1569</v>
      </c>
      <c r="C36" s="5" t="s">
        <v>642</v>
      </c>
      <c r="D36" s="6">
        <v>421239879</v>
      </c>
      <c r="E36" s="8">
        <v>45469.477777777778</v>
      </c>
      <c r="F36" s="16">
        <v>45483.416666666657</v>
      </c>
      <c r="G36" s="5" t="s">
        <v>27</v>
      </c>
      <c r="H36" s="5" t="s">
        <v>1570</v>
      </c>
      <c r="I36" s="17" t="s">
        <v>851</v>
      </c>
      <c r="J36" s="5" t="s">
        <v>852</v>
      </c>
      <c r="K36" s="5" t="s">
        <v>113</v>
      </c>
      <c r="L36" s="5" t="s">
        <v>113</v>
      </c>
      <c r="M36" s="5" t="s">
        <v>853</v>
      </c>
      <c r="N36" s="5" t="s">
        <v>893</v>
      </c>
      <c r="O36" s="5" t="s">
        <v>841</v>
      </c>
      <c r="P36" s="5" t="s">
        <v>841</v>
      </c>
      <c r="Q36" s="5" t="s">
        <v>441</v>
      </c>
      <c r="R36" s="5" t="s">
        <v>843</v>
      </c>
      <c r="S36" s="7" t="s">
        <v>1571</v>
      </c>
    </row>
    <row r="37" spans="1:19" ht="44" customHeight="1">
      <c r="A37" s="5" t="s">
        <v>12</v>
      </c>
      <c r="B37" s="5" t="s">
        <v>1572</v>
      </c>
      <c r="C37" s="5" t="s">
        <v>1537</v>
      </c>
      <c r="D37" s="6">
        <v>70000000</v>
      </c>
      <c r="E37" s="8">
        <v>45469.63958333333</v>
      </c>
      <c r="F37" s="16">
        <v>45481.458333333343</v>
      </c>
      <c r="G37" s="5" t="s">
        <v>27</v>
      </c>
      <c r="H37" s="5" t="s">
        <v>1573</v>
      </c>
      <c r="I37" s="5" t="s">
        <v>847</v>
      </c>
      <c r="J37" s="5" t="s">
        <v>848</v>
      </c>
      <c r="K37" s="5" t="s">
        <v>1538</v>
      </c>
      <c r="L37" s="5" t="s">
        <v>113</v>
      </c>
      <c r="M37" s="5" t="s">
        <v>853</v>
      </c>
      <c r="N37" s="5" t="s">
        <v>839</v>
      </c>
      <c r="O37" s="5" t="s">
        <v>840</v>
      </c>
      <c r="P37" s="5" t="s">
        <v>841</v>
      </c>
      <c r="Q37" s="5" t="s">
        <v>441</v>
      </c>
      <c r="R37" s="5" t="s">
        <v>843</v>
      </c>
      <c r="S37" s="7" t="s">
        <v>1574</v>
      </c>
    </row>
    <row r="38" spans="1:19" ht="44" customHeight="1">
      <c r="A38" s="5" t="s">
        <v>12</v>
      </c>
      <c r="B38" s="5" t="s">
        <v>1575</v>
      </c>
      <c r="C38" s="5" t="s">
        <v>1567</v>
      </c>
      <c r="D38" s="6">
        <v>38500000</v>
      </c>
      <c r="E38" s="8">
        <v>45475.571527777778</v>
      </c>
      <c r="F38" s="16">
        <v>45481.583333333343</v>
      </c>
      <c r="G38" s="5" t="s">
        <v>27</v>
      </c>
      <c r="H38" s="5" t="s">
        <v>113</v>
      </c>
      <c r="I38" s="17" t="s">
        <v>851</v>
      </c>
      <c r="J38" s="5" t="s">
        <v>852</v>
      </c>
      <c r="K38" s="5" t="s">
        <v>113</v>
      </c>
      <c r="L38" s="5" t="s">
        <v>113</v>
      </c>
      <c r="M38" s="5" t="s">
        <v>853</v>
      </c>
      <c r="N38" s="5" t="s">
        <v>839</v>
      </c>
      <c r="O38" s="5" t="s">
        <v>841</v>
      </c>
      <c r="P38" s="5" t="s">
        <v>841</v>
      </c>
      <c r="Q38" s="5" t="s">
        <v>441</v>
      </c>
      <c r="R38" s="5" t="s">
        <v>843</v>
      </c>
      <c r="S38" s="7" t="s">
        <v>1576</v>
      </c>
    </row>
    <row r="39" spans="1:19" ht="44" customHeight="1">
      <c r="A39" s="5" t="s">
        <v>12</v>
      </c>
      <c r="B39" s="5" t="s">
        <v>768</v>
      </c>
      <c r="C39" s="5" t="s">
        <v>48</v>
      </c>
      <c r="D39" s="6">
        <v>100000000</v>
      </c>
      <c r="E39" s="8">
        <v>45488.662499999999</v>
      </c>
      <c r="F39" s="16">
        <v>45499.458333333343</v>
      </c>
      <c r="G39" s="5" t="s">
        <v>27</v>
      </c>
      <c r="H39" s="5" t="s">
        <v>766</v>
      </c>
      <c r="I39" s="5" t="s">
        <v>847</v>
      </c>
      <c r="J39" s="5" t="s">
        <v>848</v>
      </c>
      <c r="K39" s="5" t="s">
        <v>1577</v>
      </c>
      <c r="L39" s="5" t="s">
        <v>872</v>
      </c>
      <c r="M39" s="5" t="s">
        <v>853</v>
      </c>
      <c r="N39" s="5" t="s">
        <v>839</v>
      </c>
      <c r="O39" s="5" t="s">
        <v>840</v>
      </c>
      <c r="P39" s="5" t="s">
        <v>841</v>
      </c>
      <c r="Q39" s="5" t="s">
        <v>441</v>
      </c>
      <c r="R39" s="5" t="s">
        <v>843</v>
      </c>
      <c r="S39" s="7" t="s">
        <v>769</v>
      </c>
    </row>
    <row r="40" spans="1:19" ht="44" customHeight="1">
      <c r="A40" s="5" t="s">
        <v>12</v>
      </c>
      <c r="B40" s="5" t="s">
        <v>1578</v>
      </c>
      <c r="C40" s="5" t="s">
        <v>48</v>
      </c>
      <c r="D40" s="6">
        <v>180000000</v>
      </c>
      <c r="E40" s="8">
        <v>45490.774305555547</v>
      </c>
      <c r="F40" s="16">
        <v>45503.458333333343</v>
      </c>
      <c r="G40" s="5" t="s">
        <v>27</v>
      </c>
      <c r="H40" s="5" t="s">
        <v>1579</v>
      </c>
      <c r="I40" s="5" t="s">
        <v>847</v>
      </c>
      <c r="J40" s="5" t="s">
        <v>848</v>
      </c>
      <c r="K40" s="5" t="s">
        <v>868</v>
      </c>
      <c r="L40" s="5" t="s">
        <v>113</v>
      </c>
      <c r="M40" s="5" t="s">
        <v>853</v>
      </c>
      <c r="N40" s="5" t="s">
        <v>839</v>
      </c>
      <c r="O40" s="5" t="s">
        <v>841</v>
      </c>
      <c r="P40" s="5" t="s">
        <v>841</v>
      </c>
      <c r="Q40" s="5" t="s">
        <v>441</v>
      </c>
      <c r="R40" s="5" t="s">
        <v>1580</v>
      </c>
      <c r="S40" s="7" t="s">
        <v>1581</v>
      </c>
    </row>
    <row r="41" spans="1:19" ht="44" customHeight="1">
      <c r="A41" s="5" t="s">
        <v>12</v>
      </c>
      <c r="B41" s="5" t="s">
        <v>1582</v>
      </c>
      <c r="C41" s="5" t="s">
        <v>892</v>
      </c>
      <c r="D41" s="6">
        <v>80000000</v>
      </c>
      <c r="E41" s="8">
        <v>45492.67291666667</v>
      </c>
      <c r="F41" s="16">
        <v>45502.666666666657</v>
      </c>
      <c r="G41" s="5" t="s">
        <v>27</v>
      </c>
      <c r="H41" s="5" t="s">
        <v>113</v>
      </c>
      <c r="I41" s="17" t="s">
        <v>851</v>
      </c>
      <c r="J41" s="5" t="s">
        <v>852</v>
      </c>
      <c r="K41" s="5" t="s">
        <v>113</v>
      </c>
      <c r="L41" s="5" t="s">
        <v>113</v>
      </c>
      <c r="M41" s="5" t="s">
        <v>853</v>
      </c>
      <c r="N41" s="5" t="s">
        <v>893</v>
      </c>
      <c r="O41" s="5" t="s">
        <v>840</v>
      </c>
      <c r="P41" s="5" t="s">
        <v>841</v>
      </c>
      <c r="Q41" s="5" t="s">
        <v>441</v>
      </c>
      <c r="R41" s="5" t="s">
        <v>843</v>
      </c>
      <c r="S41" s="7" t="s">
        <v>1583</v>
      </c>
    </row>
    <row r="42" spans="1:19" ht="44" customHeight="1">
      <c r="A42" s="5" t="s">
        <v>12</v>
      </c>
      <c r="B42" s="5" t="s">
        <v>1584</v>
      </c>
      <c r="C42" s="5" t="s">
        <v>534</v>
      </c>
      <c r="D42" s="6">
        <v>24000000</v>
      </c>
      <c r="E42" s="8">
        <v>45495.648611111108</v>
      </c>
      <c r="F42" s="16">
        <v>45509.583333333343</v>
      </c>
      <c r="G42" s="5" t="s">
        <v>27</v>
      </c>
      <c r="H42" s="5" t="s">
        <v>1260</v>
      </c>
      <c r="I42" s="5" t="s">
        <v>847</v>
      </c>
      <c r="J42" s="5" t="s">
        <v>848</v>
      </c>
      <c r="K42" s="5" t="s">
        <v>1261</v>
      </c>
      <c r="L42" s="5" t="s">
        <v>113</v>
      </c>
      <c r="M42" s="5" t="s">
        <v>853</v>
      </c>
      <c r="N42" s="5" t="s">
        <v>839</v>
      </c>
      <c r="O42" s="5" t="s">
        <v>840</v>
      </c>
      <c r="P42" s="5" t="s">
        <v>841</v>
      </c>
      <c r="Q42" s="5" t="s">
        <v>441</v>
      </c>
      <c r="R42" s="5" t="s">
        <v>843</v>
      </c>
      <c r="S42" s="7" t="s">
        <v>1585</v>
      </c>
    </row>
    <row r="43" spans="1:19" ht="44" customHeight="1">
      <c r="A43" s="5" t="s">
        <v>12</v>
      </c>
      <c r="B43" s="5" t="s">
        <v>1586</v>
      </c>
      <c r="C43" s="5" t="s">
        <v>752</v>
      </c>
      <c r="D43" s="6">
        <v>44000000</v>
      </c>
      <c r="E43" s="8">
        <v>45498.460416666669</v>
      </c>
      <c r="F43" s="16">
        <v>45509.416666666657</v>
      </c>
      <c r="G43" s="5" t="s">
        <v>27</v>
      </c>
      <c r="H43" s="5" t="s">
        <v>1587</v>
      </c>
      <c r="I43" s="5" t="s">
        <v>847</v>
      </c>
      <c r="J43" s="5" t="s">
        <v>848</v>
      </c>
      <c r="K43" s="5" t="s">
        <v>1496</v>
      </c>
      <c r="L43" s="5" t="s">
        <v>872</v>
      </c>
      <c r="M43" s="5" t="s">
        <v>853</v>
      </c>
      <c r="N43" s="5" t="s">
        <v>839</v>
      </c>
      <c r="O43" s="5" t="s">
        <v>840</v>
      </c>
      <c r="P43" s="5" t="s">
        <v>841</v>
      </c>
      <c r="Q43" s="5" t="s">
        <v>441</v>
      </c>
      <c r="R43" s="5" t="s">
        <v>843</v>
      </c>
      <c r="S43" s="7" t="s">
        <v>1588</v>
      </c>
    </row>
    <row r="44" spans="1:19" ht="44" customHeight="1">
      <c r="A44" s="5" t="s">
        <v>12</v>
      </c>
      <c r="B44" s="5" t="s">
        <v>781</v>
      </c>
      <c r="C44" s="5" t="s">
        <v>782</v>
      </c>
      <c r="D44" s="6">
        <v>225400000</v>
      </c>
      <c r="E44" s="8">
        <v>45505.723611111112</v>
      </c>
      <c r="F44" s="16">
        <v>45516.416666666657</v>
      </c>
      <c r="G44" s="5" t="s">
        <v>27</v>
      </c>
      <c r="H44" s="5" t="s">
        <v>882</v>
      </c>
      <c r="I44" s="5" t="s">
        <v>847</v>
      </c>
      <c r="J44" s="5" t="s">
        <v>848</v>
      </c>
      <c r="K44" s="5" t="s">
        <v>868</v>
      </c>
      <c r="L44" s="5" t="s">
        <v>113</v>
      </c>
      <c r="M44" s="5" t="s">
        <v>853</v>
      </c>
      <c r="N44" s="5" t="s">
        <v>839</v>
      </c>
      <c r="O44" s="5" t="s">
        <v>841</v>
      </c>
      <c r="P44" s="5" t="s">
        <v>841</v>
      </c>
      <c r="Q44" s="5" t="s">
        <v>441</v>
      </c>
      <c r="R44" s="5" t="s">
        <v>843</v>
      </c>
      <c r="S44" s="7" t="s">
        <v>783</v>
      </c>
    </row>
    <row r="45" spans="1:19" ht="44" customHeight="1">
      <c r="A45" s="5" t="s">
        <v>12</v>
      </c>
      <c r="B45" s="5" t="s">
        <v>1589</v>
      </c>
      <c r="C45" s="5" t="s">
        <v>1590</v>
      </c>
      <c r="D45" s="6">
        <v>79431000</v>
      </c>
      <c r="E45" s="8">
        <v>45512.730555555558</v>
      </c>
      <c r="F45" s="16">
        <v>45525.75</v>
      </c>
      <c r="G45" s="5" t="s">
        <v>27</v>
      </c>
      <c r="H45" s="5" t="s">
        <v>1591</v>
      </c>
      <c r="I45" s="5" t="s">
        <v>847</v>
      </c>
      <c r="J45" s="5" t="s">
        <v>848</v>
      </c>
      <c r="K45" s="5" t="s">
        <v>1592</v>
      </c>
      <c r="L45" s="5" t="s">
        <v>113</v>
      </c>
      <c r="M45" s="5" t="s">
        <v>853</v>
      </c>
      <c r="N45" s="5" t="s">
        <v>839</v>
      </c>
      <c r="O45" s="5" t="s">
        <v>841</v>
      </c>
      <c r="P45" s="5" t="s">
        <v>841</v>
      </c>
      <c r="Q45" s="5" t="s">
        <v>441</v>
      </c>
      <c r="R45" s="5" t="s">
        <v>843</v>
      </c>
      <c r="S45" s="7" t="s">
        <v>1593</v>
      </c>
    </row>
    <row r="46" spans="1:19" ht="44" customHeight="1">
      <c r="A46" s="5" t="s">
        <v>12</v>
      </c>
      <c r="B46" s="5" t="s">
        <v>1594</v>
      </c>
      <c r="C46" s="5" t="s">
        <v>1595</v>
      </c>
      <c r="D46" s="6"/>
      <c r="E46" s="8">
        <v>45524.433333333327</v>
      </c>
      <c r="F46" s="16">
        <v>45531.708333333343</v>
      </c>
      <c r="G46" s="5" t="s">
        <v>27</v>
      </c>
      <c r="H46" s="5" t="s">
        <v>113</v>
      </c>
      <c r="I46" s="5" t="s">
        <v>837</v>
      </c>
      <c r="J46" s="5" t="s">
        <v>838</v>
      </c>
      <c r="K46" s="5" t="s">
        <v>113</v>
      </c>
      <c r="L46" s="5" t="s">
        <v>113</v>
      </c>
      <c r="M46" s="5" t="s">
        <v>99</v>
      </c>
      <c r="N46" s="5" t="s">
        <v>839</v>
      </c>
      <c r="O46" s="5" t="s">
        <v>840</v>
      </c>
      <c r="P46" s="5" t="s">
        <v>841</v>
      </c>
      <c r="Q46" s="5" t="s">
        <v>1403</v>
      </c>
      <c r="R46" s="5" t="s">
        <v>843</v>
      </c>
      <c r="S46" s="7" t="s">
        <v>1596</v>
      </c>
    </row>
    <row r="47" spans="1:19" ht="44" customHeight="1">
      <c r="A47" s="5" t="s">
        <v>12</v>
      </c>
      <c r="B47" s="5" t="s">
        <v>1597</v>
      </c>
      <c r="C47" s="5" t="s">
        <v>642</v>
      </c>
      <c r="D47" s="6">
        <v>73800000</v>
      </c>
      <c r="E47" s="8">
        <v>45531.647916666669</v>
      </c>
      <c r="F47" s="16">
        <v>45545.416666666657</v>
      </c>
      <c r="G47" s="5" t="s">
        <v>27</v>
      </c>
      <c r="H47" s="5" t="s">
        <v>1598</v>
      </c>
      <c r="I47" s="17" t="s">
        <v>851</v>
      </c>
      <c r="J47" s="5" t="s">
        <v>852</v>
      </c>
      <c r="K47" s="5" t="s">
        <v>113</v>
      </c>
      <c r="L47" s="5" t="s">
        <v>113</v>
      </c>
      <c r="M47" s="5" t="s">
        <v>853</v>
      </c>
      <c r="N47" s="5" t="s">
        <v>839</v>
      </c>
      <c r="O47" s="5" t="s">
        <v>840</v>
      </c>
      <c r="P47" s="5" t="s">
        <v>841</v>
      </c>
      <c r="Q47" s="5" t="s">
        <v>441</v>
      </c>
      <c r="R47" s="5" t="s">
        <v>1599</v>
      </c>
      <c r="S47" s="7" t="s">
        <v>1600</v>
      </c>
    </row>
    <row r="48" spans="1:19" ht="44" customHeight="1">
      <c r="A48" s="5" t="s">
        <v>12</v>
      </c>
      <c r="B48" s="5" t="s">
        <v>596</v>
      </c>
      <c r="C48" s="5" t="s">
        <v>577</v>
      </c>
      <c r="D48" s="6">
        <v>30000000</v>
      </c>
      <c r="E48" s="8">
        <v>45540.593055555553</v>
      </c>
      <c r="F48" s="16">
        <v>45546.416666666657</v>
      </c>
      <c r="G48" s="5" t="s">
        <v>27</v>
      </c>
      <c r="H48" s="5" t="s">
        <v>72</v>
      </c>
      <c r="I48" s="5" t="s">
        <v>847</v>
      </c>
      <c r="J48" s="5" t="s">
        <v>848</v>
      </c>
      <c r="K48" s="5" t="s">
        <v>875</v>
      </c>
      <c r="L48" s="5" t="s">
        <v>113</v>
      </c>
      <c r="M48" s="5" t="s">
        <v>853</v>
      </c>
      <c r="N48" s="5" t="s">
        <v>839</v>
      </c>
      <c r="O48" s="5" t="s">
        <v>840</v>
      </c>
      <c r="P48" s="5" t="s">
        <v>865</v>
      </c>
      <c r="Q48" s="5" t="s">
        <v>597</v>
      </c>
      <c r="R48" s="5" t="s">
        <v>843</v>
      </c>
      <c r="S48" s="7" t="s">
        <v>598</v>
      </c>
    </row>
    <row r="49" spans="1:19" ht="44" customHeight="1">
      <c r="A49" s="5" t="s">
        <v>12</v>
      </c>
      <c r="B49" s="5" t="s">
        <v>1601</v>
      </c>
      <c r="C49" s="5" t="s">
        <v>1602</v>
      </c>
      <c r="D49" s="6">
        <v>39429000</v>
      </c>
      <c r="E49" s="8">
        <v>45546.694444444453</v>
      </c>
      <c r="F49" s="16">
        <v>45559.583333333343</v>
      </c>
      <c r="G49" s="5" t="s">
        <v>27</v>
      </c>
      <c r="H49" s="5" t="s">
        <v>1603</v>
      </c>
      <c r="I49" s="5" t="s">
        <v>847</v>
      </c>
      <c r="J49" s="5" t="s">
        <v>848</v>
      </c>
      <c r="K49" s="5" t="s">
        <v>1604</v>
      </c>
      <c r="L49" s="5" t="s">
        <v>113</v>
      </c>
      <c r="M49" s="5" t="s">
        <v>853</v>
      </c>
      <c r="N49" s="5" t="s">
        <v>839</v>
      </c>
      <c r="O49" s="5" t="s">
        <v>840</v>
      </c>
      <c r="P49" s="5" t="s">
        <v>841</v>
      </c>
      <c r="Q49" s="5" t="s">
        <v>597</v>
      </c>
      <c r="R49" s="5" t="s">
        <v>843</v>
      </c>
      <c r="S49" s="7" t="s">
        <v>1605</v>
      </c>
    </row>
    <row r="50" spans="1:19" ht="44" customHeight="1">
      <c r="A50" s="5" t="s">
        <v>12</v>
      </c>
      <c r="B50" s="5" t="s">
        <v>1606</v>
      </c>
      <c r="C50" s="5" t="s">
        <v>1607</v>
      </c>
      <c r="D50" s="6">
        <v>125000000</v>
      </c>
      <c r="E50" s="8">
        <v>45547.65347222222</v>
      </c>
      <c r="F50" s="16">
        <v>45558.416666666657</v>
      </c>
      <c r="G50" s="5" t="s">
        <v>27</v>
      </c>
      <c r="H50" s="5" t="s">
        <v>113</v>
      </c>
      <c r="I50" s="5" t="s">
        <v>847</v>
      </c>
      <c r="J50" s="5" t="s">
        <v>848</v>
      </c>
      <c r="K50" s="5" t="s">
        <v>942</v>
      </c>
      <c r="L50" s="5" t="s">
        <v>872</v>
      </c>
      <c r="M50" s="5" t="s">
        <v>853</v>
      </c>
      <c r="N50" s="5" t="s">
        <v>839</v>
      </c>
      <c r="O50" s="5" t="s">
        <v>840</v>
      </c>
      <c r="P50" s="5" t="s">
        <v>841</v>
      </c>
      <c r="Q50" s="5" t="s">
        <v>441</v>
      </c>
      <c r="R50" s="5" t="s">
        <v>843</v>
      </c>
      <c r="S50" s="7" t="s">
        <v>1608</v>
      </c>
    </row>
    <row r="51" spans="1:19" ht="44" customHeight="1">
      <c r="A51" s="5" t="s">
        <v>12</v>
      </c>
      <c r="B51" s="5" t="s">
        <v>24</v>
      </c>
      <c r="C51" s="5" t="s">
        <v>25</v>
      </c>
      <c r="D51" s="6">
        <v>60000000</v>
      </c>
      <c r="E51" s="8">
        <v>45565.577777777777</v>
      </c>
      <c r="F51" s="16">
        <v>45573.416666666657</v>
      </c>
      <c r="G51" s="5" t="s">
        <v>27</v>
      </c>
      <c r="H51" s="5" t="s">
        <v>1609</v>
      </c>
      <c r="I51" s="5" t="s">
        <v>847</v>
      </c>
      <c r="J51" s="5" t="s">
        <v>848</v>
      </c>
      <c r="K51" s="5" t="s">
        <v>942</v>
      </c>
      <c r="L51" s="5" t="s">
        <v>872</v>
      </c>
      <c r="M51" s="5" t="s">
        <v>853</v>
      </c>
      <c r="N51" s="5" t="s">
        <v>839</v>
      </c>
      <c r="O51" s="5" t="s">
        <v>841</v>
      </c>
      <c r="P51" s="5" t="s">
        <v>841</v>
      </c>
      <c r="Q51" s="5" t="s">
        <v>597</v>
      </c>
      <c r="R51" s="5" t="s">
        <v>843</v>
      </c>
      <c r="S51" s="7" t="s">
        <v>1610</v>
      </c>
    </row>
    <row r="52" spans="1:19" ht="44" customHeight="1">
      <c r="A52" s="5" t="s">
        <v>12</v>
      </c>
      <c r="B52" s="5" t="s">
        <v>1611</v>
      </c>
      <c r="C52" s="5" t="s">
        <v>1607</v>
      </c>
      <c r="D52" s="6">
        <v>107157600</v>
      </c>
      <c r="E52" s="8">
        <v>45565.614583333343</v>
      </c>
      <c r="F52" s="16">
        <v>45567.625</v>
      </c>
      <c r="G52" s="5" t="s">
        <v>27</v>
      </c>
      <c r="H52" s="5" t="s">
        <v>1612</v>
      </c>
      <c r="I52" s="5" t="s">
        <v>847</v>
      </c>
      <c r="J52" s="5" t="s">
        <v>848</v>
      </c>
      <c r="K52" s="5" t="s">
        <v>942</v>
      </c>
      <c r="L52" s="5" t="s">
        <v>113</v>
      </c>
      <c r="M52" s="5" t="s">
        <v>113</v>
      </c>
      <c r="N52" s="5" t="s">
        <v>839</v>
      </c>
      <c r="O52" s="5" t="s">
        <v>113</v>
      </c>
      <c r="P52" s="5" t="s">
        <v>841</v>
      </c>
      <c r="Q52" s="5" t="s">
        <v>441</v>
      </c>
      <c r="R52" s="5" t="s">
        <v>874</v>
      </c>
      <c r="S52" s="7" t="s">
        <v>1613</v>
      </c>
    </row>
    <row r="53" spans="1:19" ht="44" customHeight="1">
      <c r="A53" s="5" t="s">
        <v>12</v>
      </c>
      <c r="B53" s="5" t="s">
        <v>1614</v>
      </c>
      <c r="C53" s="5" t="s">
        <v>678</v>
      </c>
      <c r="D53" s="6">
        <v>43340000</v>
      </c>
      <c r="E53" s="8">
        <v>45586.420138888891</v>
      </c>
      <c r="F53" s="16">
        <v>45596.416666666657</v>
      </c>
      <c r="G53" s="5" t="s">
        <v>27</v>
      </c>
      <c r="H53" s="5" t="s">
        <v>1615</v>
      </c>
      <c r="I53" s="5" t="s">
        <v>847</v>
      </c>
      <c r="J53" s="5" t="s">
        <v>848</v>
      </c>
      <c r="K53" s="5" t="s">
        <v>946</v>
      </c>
      <c r="L53" s="5" t="s">
        <v>113</v>
      </c>
      <c r="M53" s="5" t="s">
        <v>853</v>
      </c>
      <c r="N53" s="5" t="s">
        <v>839</v>
      </c>
      <c r="O53" s="5" t="s">
        <v>840</v>
      </c>
      <c r="P53" s="5" t="s">
        <v>873</v>
      </c>
      <c r="Q53" s="5" t="s">
        <v>1550</v>
      </c>
      <c r="R53" s="5" t="s">
        <v>843</v>
      </c>
      <c r="S53" s="7" t="s">
        <v>1616</v>
      </c>
    </row>
    <row r="54" spans="1:19" ht="44" customHeight="1">
      <c r="A54" s="5" t="s">
        <v>12</v>
      </c>
      <c r="B54" s="5" t="s">
        <v>1617</v>
      </c>
      <c r="C54" s="5" t="s">
        <v>1567</v>
      </c>
      <c r="D54" s="6">
        <v>80000000</v>
      </c>
      <c r="E54" s="8">
        <v>45587.436111111107</v>
      </c>
      <c r="F54" s="16">
        <v>45597.666666666657</v>
      </c>
      <c r="G54" s="5" t="s">
        <v>27</v>
      </c>
      <c r="H54" s="5" t="s">
        <v>113</v>
      </c>
      <c r="I54" s="5" t="s">
        <v>837</v>
      </c>
      <c r="J54" s="5" t="s">
        <v>838</v>
      </c>
      <c r="K54" s="5" t="s">
        <v>113</v>
      </c>
      <c r="L54" s="5" t="s">
        <v>113</v>
      </c>
      <c r="M54" s="5" t="s">
        <v>99</v>
      </c>
      <c r="N54" s="5" t="s">
        <v>839</v>
      </c>
      <c r="O54" s="5" t="s">
        <v>841</v>
      </c>
      <c r="P54" s="5" t="s">
        <v>841</v>
      </c>
      <c r="Q54" s="5" t="s">
        <v>441</v>
      </c>
      <c r="R54" s="5" t="s">
        <v>843</v>
      </c>
      <c r="S54" s="7" t="s">
        <v>1618</v>
      </c>
    </row>
    <row r="55" spans="1:19" ht="44" customHeight="1">
      <c r="A55" s="5" t="s">
        <v>12</v>
      </c>
      <c r="B55" s="5" t="s">
        <v>646</v>
      </c>
      <c r="C55" s="5" t="s">
        <v>647</v>
      </c>
      <c r="D55" s="6">
        <v>556263370</v>
      </c>
      <c r="E55" s="8">
        <v>45589.740277777782</v>
      </c>
      <c r="F55" s="16">
        <v>45602.416666666657</v>
      </c>
      <c r="G55" s="5" t="s">
        <v>27</v>
      </c>
      <c r="H55" s="5" t="s">
        <v>1619</v>
      </c>
      <c r="I55" s="5" t="s">
        <v>847</v>
      </c>
      <c r="J55" s="5" t="s">
        <v>848</v>
      </c>
      <c r="K55" s="5" t="s">
        <v>946</v>
      </c>
      <c r="L55" s="5" t="s">
        <v>113</v>
      </c>
      <c r="M55" s="5" t="s">
        <v>853</v>
      </c>
      <c r="N55" s="5" t="s">
        <v>839</v>
      </c>
      <c r="O55" s="5" t="s">
        <v>841</v>
      </c>
      <c r="P55" s="5" t="s">
        <v>841</v>
      </c>
      <c r="Q55" s="5" t="s">
        <v>422</v>
      </c>
      <c r="R55" s="5" t="s">
        <v>843</v>
      </c>
      <c r="S55" s="7" t="s">
        <v>648</v>
      </c>
    </row>
    <row r="56" spans="1:19" ht="44" customHeight="1">
      <c r="A56" s="5" t="s">
        <v>12</v>
      </c>
      <c r="B56" s="5" t="s">
        <v>1620</v>
      </c>
      <c r="C56" s="5" t="s">
        <v>1621</v>
      </c>
      <c r="D56" s="6">
        <v>18500000</v>
      </c>
      <c r="E56" s="8">
        <v>45596.48541666667</v>
      </c>
      <c r="F56" s="16">
        <v>45607.5</v>
      </c>
      <c r="G56" s="5" t="s">
        <v>27</v>
      </c>
      <c r="H56" s="5" t="s">
        <v>113</v>
      </c>
      <c r="I56" s="17" t="s">
        <v>851</v>
      </c>
      <c r="J56" s="5" t="s">
        <v>852</v>
      </c>
      <c r="K56" s="5" t="s">
        <v>113</v>
      </c>
      <c r="L56" s="5" t="s">
        <v>113</v>
      </c>
      <c r="M56" s="5" t="s">
        <v>853</v>
      </c>
      <c r="N56" s="5" t="s">
        <v>839</v>
      </c>
      <c r="O56" s="5" t="s">
        <v>841</v>
      </c>
      <c r="P56" s="5" t="s">
        <v>841</v>
      </c>
      <c r="Q56" s="5" t="s">
        <v>441</v>
      </c>
      <c r="R56" s="5" t="s">
        <v>843</v>
      </c>
      <c r="S56" s="7" t="s">
        <v>1622</v>
      </c>
    </row>
    <row r="57" spans="1:19" ht="44" customHeight="1">
      <c r="A57" s="5" t="s">
        <v>12</v>
      </c>
      <c r="B57" s="5" t="s">
        <v>1623</v>
      </c>
      <c r="C57" s="5" t="s">
        <v>1192</v>
      </c>
      <c r="D57" s="6">
        <v>35000000</v>
      </c>
      <c r="E57" s="8">
        <v>45604.693055555559</v>
      </c>
      <c r="F57" s="16">
        <v>45611.583333333343</v>
      </c>
      <c r="G57" s="5" t="s">
        <v>27</v>
      </c>
      <c r="H57" s="5" t="s">
        <v>113</v>
      </c>
      <c r="I57" s="17" t="s">
        <v>851</v>
      </c>
      <c r="J57" s="5" t="s">
        <v>852</v>
      </c>
      <c r="K57" s="5" t="s">
        <v>113</v>
      </c>
      <c r="L57" s="5" t="s">
        <v>113</v>
      </c>
      <c r="M57" s="5" t="s">
        <v>853</v>
      </c>
      <c r="N57" s="5" t="s">
        <v>839</v>
      </c>
      <c r="O57" s="5" t="s">
        <v>841</v>
      </c>
      <c r="P57" s="5" t="s">
        <v>841</v>
      </c>
      <c r="Q57" s="5" t="s">
        <v>1171</v>
      </c>
      <c r="R57" s="5" t="s">
        <v>843</v>
      </c>
      <c r="S57" s="7" t="s">
        <v>1624</v>
      </c>
    </row>
    <row r="58" spans="1:19" ht="44" customHeight="1">
      <c r="A58" s="5" t="s">
        <v>12</v>
      </c>
      <c r="B58" s="5" t="s">
        <v>1625</v>
      </c>
      <c r="C58" s="5" t="s">
        <v>1626</v>
      </c>
      <c r="D58" s="6">
        <v>314652000</v>
      </c>
      <c r="E58" s="8">
        <v>45610.55972222222</v>
      </c>
      <c r="F58" s="16">
        <v>45621.416666666657</v>
      </c>
      <c r="G58" s="5" t="s">
        <v>27</v>
      </c>
      <c r="H58" s="5" t="s">
        <v>113</v>
      </c>
      <c r="I58" s="5" t="s">
        <v>847</v>
      </c>
      <c r="J58" s="5" t="s">
        <v>848</v>
      </c>
      <c r="K58" s="5" t="s">
        <v>849</v>
      </c>
      <c r="L58" s="5" t="s">
        <v>113</v>
      </c>
      <c r="M58" s="5" t="s">
        <v>853</v>
      </c>
      <c r="N58" s="5" t="s">
        <v>839</v>
      </c>
      <c r="O58" s="5" t="s">
        <v>841</v>
      </c>
      <c r="P58" s="5" t="s">
        <v>841</v>
      </c>
      <c r="Q58" s="5" t="s">
        <v>441</v>
      </c>
      <c r="R58" s="5" t="s">
        <v>843</v>
      </c>
      <c r="S58" s="7" t="s">
        <v>1627</v>
      </c>
    </row>
    <row r="59" spans="1:19" ht="44" customHeight="1">
      <c r="A59" s="5" t="s">
        <v>12</v>
      </c>
      <c r="B59" s="5" t="s">
        <v>1628</v>
      </c>
      <c r="C59" s="5" t="s">
        <v>1498</v>
      </c>
      <c r="D59" s="6"/>
      <c r="E59" s="8">
        <v>45617.736805555563</v>
      </c>
      <c r="F59" s="16">
        <v>45628.625</v>
      </c>
      <c r="G59" s="5" t="s">
        <v>27</v>
      </c>
      <c r="H59" s="5" t="s">
        <v>113</v>
      </c>
      <c r="I59" s="5" t="s">
        <v>837</v>
      </c>
      <c r="J59" s="5" t="s">
        <v>838</v>
      </c>
      <c r="K59" s="5" t="s">
        <v>113</v>
      </c>
      <c r="L59" s="5" t="s">
        <v>113</v>
      </c>
      <c r="M59" s="5" t="s">
        <v>99</v>
      </c>
      <c r="N59" s="5" t="s">
        <v>839</v>
      </c>
      <c r="O59" s="5" t="s">
        <v>840</v>
      </c>
      <c r="P59" s="5" t="s">
        <v>841</v>
      </c>
      <c r="Q59" s="5" t="s">
        <v>1403</v>
      </c>
      <c r="R59" s="5" t="s">
        <v>843</v>
      </c>
      <c r="S59" s="7" t="s">
        <v>1629</v>
      </c>
    </row>
    <row r="60" spans="1:19" ht="44" customHeight="1">
      <c r="A60" s="5" t="s">
        <v>12</v>
      </c>
      <c r="B60" s="5" t="s">
        <v>1630</v>
      </c>
      <c r="C60" s="5" t="s">
        <v>678</v>
      </c>
      <c r="D60" s="6">
        <v>95000000</v>
      </c>
      <c r="E60" s="8">
        <v>45637.463194444441</v>
      </c>
      <c r="F60" s="16">
        <v>45649.416666666657</v>
      </c>
      <c r="G60" s="5" t="s">
        <v>27</v>
      </c>
      <c r="H60" s="5" t="s">
        <v>1495</v>
      </c>
      <c r="I60" s="5" t="s">
        <v>847</v>
      </c>
      <c r="J60" s="5" t="s">
        <v>848</v>
      </c>
      <c r="K60" s="5" t="s">
        <v>942</v>
      </c>
      <c r="L60" s="5" t="s">
        <v>113</v>
      </c>
      <c r="M60" s="5" t="s">
        <v>853</v>
      </c>
      <c r="N60" s="5" t="s">
        <v>839</v>
      </c>
      <c r="O60" s="5" t="s">
        <v>840</v>
      </c>
      <c r="P60" s="5" t="s">
        <v>841</v>
      </c>
      <c r="Q60" s="5" t="s">
        <v>441</v>
      </c>
      <c r="R60" s="5" t="s">
        <v>843</v>
      </c>
      <c r="S60" s="7" t="s">
        <v>1631</v>
      </c>
    </row>
    <row r="61" spans="1:19" ht="44" customHeight="1">
      <c r="A61" s="5" t="s">
        <v>12</v>
      </c>
      <c r="B61" s="5" t="s">
        <v>1632</v>
      </c>
      <c r="C61" s="5" t="s">
        <v>418</v>
      </c>
      <c r="D61" s="6">
        <v>25000000</v>
      </c>
      <c r="E61" s="8">
        <v>45637.707638888889</v>
      </c>
      <c r="F61" s="16">
        <v>45650.5</v>
      </c>
      <c r="G61" s="5" t="s">
        <v>27</v>
      </c>
      <c r="H61" s="5" t="s">
        <v>113</v>
      </c>
      <c r="I61" s="17" t="s">
        <v>851</v>
      </c>
      <c r="J61" s="5" t="s">
        <v>852</v>
      </c>
      <c r="K61" s="5" t="s">
        <v>113</v>
      </c>
      <c r="L61" s="5" t="s">
        <v>113</v>
      </c>
      <c r="M61" s="5" t="s">
        <v>113</v>
      </c>
      <c r="N61" s="5" t="s">
        <v>839</v>
      </c>
      <c r="O61" s="5" t="s">
        <v>113</v>
      </c>
      <c r="P61" s="5" t="s">
        <v>841</v>
      </c>
      <c r="Q61" s="5" t="s">
        <v>441</v>
      </c>
      <c r="R61" s="5" t="s">
        <v>874</v>
      </c>
      <c r="S61" s="7" t="s">
        <v>1633</v>
      </c>
    </row>
    <row r="62" spans="1:19" ht="44" customHeight="1">
      <c r="A62" s="5" t="s">
        <v>12</v>
      </c>
      <c r="B62" s="5" t="s">
        <v>1634</v>
      </c>
      <c r="C62" s="5" t="s">
        <v>1192</v>
      </c>
      <c r="D62" s="6">
        <v>43300000</v>
      </c>
      <c r="E62" s="8">
        <v>45643.538194444453</v>
      </c>
      <c r="F62" s="16">
        <v>45652.625</v>
      </c>
      <c r="G62" s="5" t="s">
        <v>27</v>
      </c>
      <c r="H62" s="5" t="s">
        <v>113</v>
      </c>
      <c r="I62" s="5" t="s">
        <v>837</v>
      </c>
      <c r="J62" s="5" t="s">
        <v>838</v>
      </c>
      <c r="K62" s="5" t="s">
        <v>113</v>
      </c>
      <c r="L62" s="5" t="s">
        <v>113</v>
      </c>
      <c r="M62" s="5" t="s">
        <v>99</v>
      </c>
      <c r="N62" s="5" t="s">
        <v>839</v>
      </c>
      <c r="O62" s="5" t="s">
        <v>841</v>
      </c>
      <c r="P62" s="5" t="s">
        <v>841</v>
      </c>
      <c r="Q62" s="5" t="s">
        <v>1171</v>
      </c>
      <c r="R62" s="5" t="s">
        <v>843</v>
      </c>
      <c r="S62" s="7" t="s">
        <v>1635</v>
      </c>
    </row>
    <row r="63" spans="1:19" ht="44" customHeight="1">
      <c r="A63" s="5" t="s">
        <v>12</v>
      </c>
      <c r="B63" s="5" t="s">
        <v>1636</v>
      </c>
      <c r="C63" s="5" t="s">
        <v>752</v>
      </c>
      <c r="D63" s="6">
        <v>22000000</v>
      </c>
      <c r="E63" s="8">
        <v>45652.46875</v>
      </c>
      <c r="F63" s="16">
        <v>45653.416666666657</v>
      </c>
      <c r="G63" s="5" t="s">
        <v>27</v>
      </c>
      <c r="H63" s="5" t="s">
        <v>1587</v>
      </c>
      <c r="I63" s="5" t="s">
        <v>847</v>
      </c>
      <c r="J63" s="5" t="s">
        <v>848</v>
      </c>
      <c r="K63" s="5" t="s">
        <v>849</v>
      </c>
      <c r="L63" s="5" t="s">
        <v>113</v>
      </c>
      <c r="M63" s="5" t="s">
        <v>853</v>
      </c>
      <c r="N63" s="5" t="s">
        <v>839</v>
      </c>
      <c r="O63" s="5" t="s">
        <v>841</v>
      </c>
      <c r="P63" s="5" t="s">
        <v>841</v>
      </c>
      <c r="Q63" s="5" t="s">
        <v>1550</v>
      </c>
      <c r="R63" s="5" t="s">
        <v>1637</v>
      </c>
      <c r="S63" s="7" t="s">
        <v>1638</v>
      </c>
    </row>
    <row r="65" spans="1:19" ht="24" customHeight="1">
      <c r="A65" s="23" t="s">
        <v>1639</v>
      </c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</row>
    <row r="66" spans="1:19" ht="36" customHeight="1">
      <c r="A66" s="4" t="s">
        <v>6</v>
      </c>
      <c r="B66" s="4" t="s">
        <v>17</v>
      </c>
      <c r="C66" s="4" t="s">
        <v>18</v>
      </c>
      <c r="D66" s="4" t="s">
        <v>19</v>
      </c>
      <c r="E66" s="4" t="s">
        <v>21</v>
      </c>
      <c r="F66" s="4" t="s">
        <v>27</v>
      </c>
      <c r="G66" s="4" t="s">
        <v>22</v>
      </c>
      <c r="H66" s="4" t="s">
        <v>824</v>
      </c>
      <c r="I66" s="4" t="s">
        <v>825</v>
      </c>
      <c r="J66" s="4" t="s">
        <v>826</v>
      </c>
      <c r="K66" s="4" t="s">
        <v>827</v>
      </c>
      <c r="L66" s="4" t="s">
        <v>828</v>
      </c>
      <c r="M66" s="4" t="s">
        <v>829</v>
      </c>
      <c r="N66" s="4" t="s">
        <v>830</v>
      </c>
      <c r="O66" s="4" t="s">
        <v>831</v>
      </c>
      <c r="P66" s="4" t="s">
        <v>832</v>
      </c>
      <c r="Q66" s="4" t="s">
        <v>358</v>
      </c>
      <c r="R66" s="4" t="s">
        <v>833</v>
      </c>
      <c r="S66" s="4" t="s">
        <v>834</v>
      </c>
    </row>
    <row r="67" spans="1:19" ht="44" customHeight="1">
      <c r="A67" s="5" t="s">
        <v>13</v>
      </c>
      <c r="B67" s="5" t="s">
        <v>791</v>
      </c>
      <c r="C67" s="5" t="s">
        <v>368</v>
      </c>
      <c r="D67" s="6">
        <v>131000000</v>
      </c>
      <c r="E67" s="8">
        <v>45355.65</v>
      </c>
      <c r="F67" s="16">
        <v>45377.708333333343</v>
      </c>
      <c r="G67" s="5" t="s">
        <v>27</v>
      </c>
      <c r="H67" s="5" t="s">
        <v>814</v>
      </c>
      <c r="I67" s="5" t="s">
        <v>847</v>
      </c>
      <c r="J67" s="5" t="s">
        <v>848</v>
      </c>
      <c r="K67" s="5" t="s">
        <v>1640</v>
      </c>
      <c r="L67" s="5" t="s">
        <v>872</v>
      </c>
      <c r="M67" s="5" t="s">
        <v>853</v>
      </c>
      <c r="N67" s="5" t="s">
        <v>839</v>
      </c>
      <c r="O67" s="5" t="s">
        <v>840</v>
      </c>
      <c r="P67" s="5" t="s">
        <v>841</v>
      </c>
      <c r="Q67" s="5" t="s">
        <v>441</v>
      </c>
      <c r="R67" s="5" t="s">
        <v>843</v>
      </c>
      <c r="S67" s="7" t="s">
        <v>792</v>
      </c>
    </row>
    <row r="68" spans="1:19" ht="44" customHeight="1">
      <c r="A68" s="5" t="s">
        <v>13</v>
      </c>
      <c r="B68" s="5" t="s">
        <v>1641</v>
      </c>
      <c r="C68" s="5" t="s">
        <v>642</v>
      </c>
      <c r="D68" s="6">
        <v>397460000</v>
      </c>
      <c r="E68" s="8">
        <v>45369.416666666657</v>
      </c>
      <c r="F68" s="16">
        <v>45380.416666666657</v>
      </c>
      <c r="G68" s="5" t="s">
        <v>27</v>
      </c>
      <c r="H68" s="5" t="s">
        <v>969</v>
      </c>
      <c r="I68" s="5" t="s">
        <v>847</v>
      </c>
      <c r="J68" s="5" t="s">
        <v>848</v>
      </c>
      <c r="K68" s="5" t="s">
        <v>1577</v>
      </c>
      <c r="L68" s="5" t="s">
        <v>872</v>
      </c>
      <c r="M68" s="5" t="s">
        <v>853</v>
      </c>
      <c r="N68" s="5" t="s">
        <v>839</v>
      </c>
      <c r="O68" s="5" t="s">
        <v>841</v>
      </c>
      <c r="P68" s="5" t="s">
        <v>841</v>
      </c>
      <c r="Q68" s="5" t="s">
        <v>441</v>
      </c>
      <c r="R68" s="5" t="s">
        <v>843</v>
      </c>
      <c r="S68" s="7" t="s">
        <v>1642</v>
      </c>
    </row>
    <row r="69" spans="1:19" ht="44" customHeight="1">
      <c r="A69" s="5" t="s">
        <v>13</v>
      </c>
      <c r="B69" s="5" t="s">
        <v>1643</v>
      </c>
      <c r="C69" s="5" t="s">
        <v>409</v>
      </c>
      <c r="D69" s="6">
        <v>35888000</v>
      </c>
      <c r="E69" s="8">
        <v>45372.328472222223</v>
      </c>
      <c r="F69" s="16">
        <v>45385.708333333343</v>
      </c>
      <c r="G69" s="5" t="s">
        <v>27</v>
      </c>
      <c r="H69" s="5" t="s">
        <v>113</v>
      </c>
      <c r="I69" s="5" t="s">
        <v>847</v>
      </c>
      <c r="J69" s="5" t="s">
        <v>848</v>
      </c>
      <c r="K69" s="5" t="s">
        <v>1644</v>
      </c>
      <c r="L69" s="5" t="s">
        <v>1645</v>
      </c>
      <c r="M69" s="5" t="s">
        <v>853</v>
      </c>
      <c r="N69" s="5" t="s">
        <v>839</v>
      </c>
      <c r="O69" s="5" t="s">
        <v>840</v>
      </c>
      <c r="P69" s="5" t="s">
        <v>841</v>
      </c>
      <c r="Q69" s="5" t="s">
        <v>441</v>
      </c>
      <c r="R69" s="5" t="s">
        <v>843</v>
      </c>
      <c r="S69" s="7" t="s">
        <v>1646</v>
      </c>
    </row>
    <row r="70" spans="1:19" ht="44" customHeight="1">
      <c r="A70" s="5" t="s">
        <v>13</v>
      </c>
      <c r="B70" s="5" t="s">
        <v>641</v>
      </c>
      <c r="C70" s="5" t="s">
        <v>642</v>
      </c>
      <c r="D70" s="6">
        <v>449395142</v>
      </c>
      <c r="E70" s="8">
        <v>45377.46875</v>
      </c>
      <c r="F70" s="16">
        <v>45391.416666666657</v>
      </c>
      <c r="G70" s="5" t="s">
        <v>27</v>
      </c>
      <c r="H70" s="5" t="s">
        <v>632</v>
      </c>
      <c r="I70" s="17" t="s">
        <v>851</v>
      </c>
      <c r="J70" s="5" t="s">
        <v>852</v>
      </c>
      <c r="K70" s="5" t="s">
        <v>113</v>
      </c>
      <c r="L70" s="5" t="s">
        <v>113</v>
      </c>
      <c r="M70" s="5" t="s">
        <v>113</v>
      </c>
      <c r="N70" s="5" t="s">
        <v>893</v>
      </c>
      <c r="O70" s="5" t="s">
        <v>113</v>
      </c>
      <c r="P70" s="5" t="s">
        <v>841</v>
      </c>
      <c r="Q70" s="5" t="s">
        <v>441</v>
      </c>
      <c r="R70" s="5" t="s">
        <v>874</v>
      </c>
      <c r="S70" s="7" t="s">
        <v>643</v>
      </c>
    </row>
    <row r="71" spans="1:19" ht="44" customHeight="1">
      <c r="A71" s="5" t="s">
        <v>13</v>
      </c>
      <c r="B71" s="5" t="s">
        <v>728</v>
      </c>
      <c r="C71" s="5" t="s">
        <v>558</v>
      </c>
      <c r="D71" s="6">
        <v>120000000</v>
      </c>
      <c r="E71" s="8">
        <v>45378.561805555553</v>
      </c>
      <c r="F71" s="16">
        <v>45391.583333333343</v>
      </c>
      <c r="G71" s="5" t="s">
        <v>27</v>
      </c>
      <c r="H71" s="5" t="s">
        <v>1647</v>
      </c>
      <c r="I71" s="17" t="s">
        <v>851</v>
      </c>
      <c r="J71" s="5" t="s">
        <v>852</v>
      </c>
      <c r="K71" s="5" t="s">
        <v>113</v>
      </c>
      <c r="L71" s="5" t="s">
        <v>113</v>
      </c>
      <c r="M71" s="5" t="s">
        <v>113</v>
      </c>
      <c r="N71" s="5" t="s">
        <v>893</v>
      </c>
      <c r="O71" s="5" t="s">
        <v>113</v>
      </c>
      <c r="P71" s="5" t="s">
        <v>841</v>
      </c>
      <c r="Q71" s="5" t="s">
        <v>441</v>
      </c>
      <c r="R71" s="5" t="s">
        <v>874</v>
      </c>
      <c r="S71" s="7" t="s">
        <v>729</v>
      </c>
    </row>
    <row r="72" spans="1:19" ht="44" customHeight="1">
      <c r="A72" s="5" t="s">
        <v>13</v>
      </c>
      <c r="B72" s="5" t="s">
        <v>1648</v>
      </c>
      <c r="C72" s="5" t="s">
        <v>1602</v>
      </c>
      <c r="D72" s="6">
        <v>150000000</v>
      </c>
      <c r="E72" s="8">
        <v>45384.637499999997</v>
      </c>
      <c r="F72" s="16">
        <v>45398.416666666657</v>
      </c>
      <c r="G72" s="5" t="s">
        <v>27</v>
      </c>
      <c r="H72" s="5" t="s">
        <v>1649</v>
      </c>
      <c r="I72" s="17" t="s">
        <v>851</v>
      </c>
      <c r="J72" s="5" t="s">
        <v>852</v>
      </c>
      <c r="K72" s="5" t="s">
        <v>113</v>
      </c>
      <c r="L72" s="5" t="s">
        <v>113</v>
      </c>
      <c r="M72" s="5" t="s">
        <v>853</v>
      </c>
      <c r="N72" s="5" t="s">
        <v>839</v>
      </c>
      <c r="O72" s="5" t="s">
        <v>841</v>
      </c>
      <c r="P72" s="5" t="s">
        <v>841</v>
      </c>
      <c r="Q72" s="5" t="s">
        <v>441</v>
      </c>
      <c r="R72" s="5" t="s">
        <v>843</v>
      </c>
      <c r="S72" s="7" t="s">
        <v>1650</v>
      </c>
    </row>
    <row r="73" spans="1:19" ht="44" customHeight="1">
      <c r="A73" s="5" t="s">
        <v>13</v>
      </c>
      <c r="B73" s="5" t="s">
        <v>1651</v>
      </c>
      <c r="C73" s="5" t="s">
        <v>1356</v>
      </c>
      <c r="D73" s="6">
        <v>42000000</v>
      </c>
      <c r="E73" s="8">
        <v>45391.415972222218</v>
      </c>
      <c r="F73" s="16">
        <v>45404.416666666657</v>
      </c>
      <c r="G73" s="5" t="s">
        <v>27</v>
      </c>
      <c r="H73" s="5" t="s">
        <v>1357</v>
      </c>
      <c r="I73" s="5" t="s">
        <v>847</v>
      </c>
      <c r="J73" s="5" t="s">
        <v>848</v>
      </c>
      <c r="K73" s="5" t="s">
        <v>1496</v>
      </c>
      <c r="L73" s="5" t="s">
        <v>872</v>
      </c>
      <c r="M73" s="5" t="s">
        <v>853</v>
      </c>
      <c r="N73" s="5" t="s">
        <v>839</v>
      </c>
      <c r="O73" s="5" t="s">
        <v>840</v>
      </c>
      <c r="P73" s="5" t="s">
        <v>1359</v>
      </c>
      <c r="Q73" s="5" t="s">
        <v>441</v>
      </c>
      <c r="R73" s="5" t="s">
        <v>843</v>
      </c>
      <c r="S73" s="7" t="s">
        <v>1652</v>
      </c>
    </row>
    <row r="74" spans="1:19" ht="44" customHeight="1">
      <c r="A74" s="5" t="s">
        <v>13</v>
      </c>
      <c r="B74" s="5" t="s">
        <v>1653</v>
      </c>
      <c r="C74" s="5" t="s">
        <v>1654</v>
      </c>
      <c r="D74" s="6">
        <v>45000000</v>
      </c>
      <c r="E74" s="8">
        <v>45399.75</v>
      </c>
      <c r="F74" s="16">
        <v>45412.625</v>
      </c>
      <c r="G74" s="5" t="s">
        <v>27</v>
      </c>
      <c r="H74" s="5" t="s">
        <v>1655</v>
      </c>
      <c r="I74" s="5" t="s">
        <v>837</v>
      </c>
      <c r="J74" s="5" t="s">
        <v>838</v>
      </c>
      <c r="K74" s="5" t="s">
        <v>113</v>
      </c>
      <c r="L74" s="5" t="s">
        <v>113</v>
      </c>
      <c r="M74" s="5" t="s">
        <v>99</v>
      </c>
      <c r="N74" s="5" t="s">
        <v>893</v>
      </c>
      <c r="O74" s="5" t="s">
        <v>841</v>
      </c>
      <c r="P74" s="5" t="s">
        <v>841</v>
      </c>
      <c r="Q74" s="5" t="s">
        <v>441</v>
      </c>
      <c r="R74" s="5" t="s">
        <v>1656</v>
      </c>
      <c r="S74" s="7" t="s">
        <v>1657</v>
      </c>
    </row>
    <row r="75" spans="1:19" ht="44" customHeight="1">
      <c r="A75" s="5" t="s">
        <v>13</v>
      </c>
      <c r="B75" s="5" t="s">
        <v>651</v>
      </c>
      <c r="C75" s="5" t="s">
        <v>361</v>
      </c>
      <c r="D75" s="6">
        <v>403132250</v>
      </c>
      <c r="E75" s="8">
        <v>45400.554166666669</v>
      </c>
      <c r="F75" s="16">
        <v>45415.416666666657</v>
      </c>
      <c r="G75" s="5" t="s">
        <v>27</v>
      </c>
      <c r="H75" s="5" t="s">
        <v>1658</v>
      </c>
      <c r="I75" s="5" t="s">
        <v>847</v>
      </c>
      <c r="J75" s="5" t="s">
        <v>848</v>
      </c>
      <c r="K75" s="5" t="s">
        <v>868</v>
      </c>
      <c r="L75" s="5" t="s">
        <v>113</v>
      </c>
      <c r="M75" s="5" t="s">
        <v>853</v>
      </c>
      <c r="N75" s="5" t="s">
        <v>893</v>
      </c>
      <c r="O75" s="5" t="s">
        <v>841</v>
      </c>
      <c r="P75" s="5" t="s">
        <v>841</v>
      </c>
      <c r="Q75" s="5" t="s">
        <v>422</v>
      </c>
      <c r="R75" s="5" t="s">
        <v>843</v>
      </c>
      <c r="S75" s="7" t="s">
        <v>652</v>
      </c>
    </row>
    <row r="76" spans="1:19" ht="44" customHeight="1">
      <c r="A76" s="5" t="s">
        <v>13</v>
      </c>
      <c r="B76" s="5" t="s">
        <v>1659</v>
      </c>
      <c r="C76" s="5" t="s">
        <v>892</v>
      </c>
      <c r="D76" s="6">
        <v>419360000</v>
      </c>
      <c r="E76" s="8">
        <v>45411.427083333343</v>
      </c>
      <c r="F76" s="16">
        <v>45428.708333333343</v>
      </c>
      <c r="G76" s="5" t="s">
        <v>27</v>
      </c>
      <c r="H76" s="5" t="s">
        <v>113</v>
      </c>
      <c r="I76" s="17" t="s">
        <v>851</v>
      </c>
      <c r="J76" s="5" t="s">
        <v>852</v>
      </c>
      <c r="K76" s="5" t="s">
        <v>113</v>
      </c>
      <c r="L76" s="5" t="s">
        <v>113</v>
      </c>
      <c r="M76" s="5" t="s">
        <v>853</v>
      </c>
      <c r="N76" s="5" t="s">
        <v>893</v>
      </c>
      <c r="O76" s="5" t="s">
        <v>840</v>
      </c>
      <c r="P76" s="5" t="s">
        <v>841</v>
      </c>
      <c r="Q76" s="5" t="s">
        <v>441</v>
      </c>
      <c r="R76" s="5" t="s">
        <v>843</v>
      </c>
      <c r="S76" s="7" t="s">
        <v>1660</v>
      </c>
    </row>
    <row r="77" spans="1:19" ht="44" customHeight="1">
      <c r="A77" s="5" t="s">
        <v>13</v>
      </c>
      <c r="B77" s="5" t="s">
        <v>1661</v>
      </c>
      <c r="C77" s="5" t="s">
        <v>1056</v>
      </c>
      <c r="D77" s="6">
        <v>150000000</v>
      </c>
      <c r="E77" s="8">
        <v>45425.743055555547</v>
      </c>
      <c r="F77" s="16">
        <v>45446.5</v>
      </c>
      <c r="G77" s="5" t="s">
        <v>27</v>
      </c>
      <c r="H77" s="5" t="s">
        <v>113</v>
      </c>
      <c r="I77" s="17" t="s">
        <v>851</v>
      </c>
      <c r="J77" s="5" t="s">
        <v>852</v>
      </c>
      <c r="K77" s="5" t="s">
        <v>113</v>
      </c>
      <c r="L77" s="5" t="s">
        <v>113</v>
      </c>
      <c r="M77" s="5" t="s">
        <v>853</v>
      </c>
      <c r="N77" s="5" t="s">
        <v>839</v>
      </c>
      <c r="O77" s="5" t="s">
        <v>840</v>
      </c>
      <c r="P77" s="5" t="s">
        <v>841</v>
      </c>
      <c r="Q77" s="5" t="s">
        <v>441</v>
      </c>
      <c r="R77" s="5" t="s">
        <v>843</v>
      </c>
      <c r="S77" s="7" t="s">
        <v>1662</v>
      </c>
    </row>
    <row r="78" spans="1:19" ht="44" customHeight="1">
      <c r="A78" s="5" t="s">
        <v>13</v>
      </c>
      <c r="B78" s="5" t="s">
        <v>725</v>
      </c>
      <c r="C78" s="5" t="s">
        <v>726</v>
      </c>
      <c r="D78" s="6">
        <v>99919371</v>
      </c>
      <c r="E78" s="8">
        <v>45426.724305555559</v>
      </c>
      <c r="F78" s="16">
        <v>45440.416666666657</v>
      </c>
      <c r="G78" s="5" t="s">
        <v>27</v>
      </c>
      <c r="H78" s="5" t="s">
        <v>1663</v>
      </c>
      <c r="I78" s="5" t="s">
        <v>847</v>
      </c>
      <c r="J78" s="5" t="s">
        <v>848</v>
      </c>
      <c r="K78" s="5" t="s">
        <v>942</v>
      </c>
      <c r="L78" s="5" t="s">
        <v>872</v>
      </c>
      <c r="M78" s="5" t="s">
        <v>853</v>
      </c>
      <c r="N78" s="5" t="s">
        <v>893</v>
      </c>
      <c r="O78" s="5" t="s">
        <v>840</v>
      </c>
      <c r="P78" s="5" t="s">
        <v>841</v>
      </c>
      <c r="Q78" s="5" t="s">
        <v>441</v>
      </c>
      <c r="R78" s="5" t="s">
        <v>843</v>
      </c>
      <c r="S78" s="7" t="s">
        <v>727</v>
      </c>
    </row>
    <row r="79" spans="1:19" ht="44" customHeight="1">
      <c r="A79" s="5" t="s">
        <v>13</v>
      </c>
      <c r="B79" s="5" t="s">
        <v>1659</v>
      </c>
      <c r="C79" s="5" t="s">
        <v>892</v>
      </c>
      <c r="D79" s="6">
        <v>419360000</v>
      </c>
      <c r="E79" s="8">
        <v>45428.724999999999</v>
      </c>
      <c r="F79" s="16">
        <v>45433.666666666657</v>
      </c>
      <c r="G79" s="5" t="s">
        <v>27</v>
      </c>
      <c r="H79" s="5" t="s">
        <v>113</v>
      </c>
      <c r="I79" s="17" t="s">
        <v>851</v>
      </c>
      <c r="J79" s="5" t="s">
        <v>852</v>
      </c>
      <c r="K79" s="5" t="s">
        <v>113</v>
      </c>
      <c r="L79" s="5" t="s">
        <v>113</v>
      </c>
      <c r="M79" s="5" t="s">
        <v>853</v>
      </c>
      <c r="N79" s="5" t="s">
        <v>893</v>
      </c>
      <c r="O79" s="5" t="s">
        <v>840</v>
      </c>
      <c r="P79" s="5" t="s">
        <v>841</v>
      </c>
      <c r="Q79" s="5" t="s">
        <v>441</v>
      </c>
      <c r="R79" s="5" t="s">
        <v>843</v>
      </c>
      <c r="S79" s="7" t="s">
        <v>1664</v>
      </c>
    </row>
    <row r="80" spans="1:19" ht="44" customHeight="1">
      <c r="A80" s="5" t="s">
        <v>13</v>
      </c>
      <c r="B80" s="5" t="s">
        <v>1665</v>
      </c>
      <c r="C80" s="5" t="s">
        <v>1112</v>
      </c>
      <c r="D80" s="6">
        <v>24200000</v>
      </c>
      <c r="E80" s="8">
        <v>45433.796527777777</v>
      </c>
      <c r="F80" s="16">
        <v>45440.583333333343</v>
      </c>
      <c r="G80" s="5" t="s">
        <v>27</v>
      </c>
      <c r="H80" s="5" t="s">
        <v>1666</v>
      </c>
      <c r="I80" s="5" t="s">
        <v>847</v>
      </c>
      <c r="J80" s="5" t="s">
        <v>848</v>
      </c>
      <c r="K80" s="5" t="s">
        <v>942</v>
      </c>
      <c r="L80" s="5" t="s">
        <v>872</v>
      </c>
      <c r="M80" s="5" t="s">
        <v>853</v>
      </c>
      <c r="N80" s="5" t="s">
        <v>839</v>
      </c>
      <c r="O80" s="5" t="s">
        <v>840</v>
      </c>
      <c r="P80" s="5" t="s">
        <v>841</v>
      </c>
      <c r="Q80" s="5" t="s">
        <v>597</v>
      </c>
      <c r="R80" s="5" t="s">
        <v>843</v>
      </c>
      <c r="S80" s="7" t="s">
        <v>1667</v>
      </c>
    </row>
    <row r="81" spans="1:19" ht="44" customHeight="1">
      <c r="A81" s="5" t="s">
        <v>13</v>
      </c>
      <c r="B81" s="5" t="s">
        <v>1668</v>
      </c>
      <c r="C81" s="5" t="s">
        <v>1344</v>
      </c>
      <c r="D81" s="6">
        <v>55000000</v>
      </c>
      <c r="E81" s="8">
        <v>45434.413888888892</v>
      </c>
      <c r="F81" s="16">
        <v>45434.708333333343</v>
      </c>
      <c r="G81" s="5" t="s">
        <v>27</v>
      </c>
      <c r="H81" s="5" t="s">
        <v>1669</v>
      </c>
      <c r="I81" s="17" t="s">
        <v>851</v>
      </c>
      <c r="J81" s="5" t="s">
        <v>852</v>
      </c>
      <c r="K81" s="5" t="s">
        <v>113</v>
      </c>
      <c r="L81" s="5" t="s">
        <v>113</v>
      </c>
      <c r="M81" s="5" t="s">
        <v>113</v>
      </c>
      <c r="N81" s="5" t="s">
        <v>839</v>
      </c>
      <c r="O81" s="5" t="s">
        <v>113</v>
      </c>
      <c r="P81" s="5" t="s">
        <v>841</v>
      </c>
      <c r="Q81" s="5" t="s">
        <v>1550</v>
      </c>
      <c r="R81" s="5" t="s">
        <v>874</v>
      </c>
      <c r="S81" s="7" t="s">
        <v>1670</v>
      </c>
    </row>
    <row r="82" spans="1:19" ht="44" customHeight="1">
      <c r="A82" s="5" t="s">
        <v>13</v>
      </c>
      <c r="B82" s="5" t="s">
        <v>1671</v>
      </c>
      <c r="C82" s="5" t="s">
        <v>1672</v>
      </c>
      <c r="D82" s="6">
        <v>16000000</v>
      </c>
      <c r="E82" s="8">
        <v>45435.631944444453</v>
      </c>
      <c r="F82" s="16">
        <v>45439.416666666657</v>
      </c>
      <c r="G82" s="5" t="s">
        <v>27</v>
      </c>
      <c r="H82" s="5" t="s">
        <v>113</v>
      </c>
      <c r="I82" s="17" t="s">
        <v>851</v>
      </c>
      <c r="J82" s="5" t="s">
        <v>852</v>
      </c>
      <c r="K82" s="5" t="s">
        <v>113</v>
      </c>
      <c r="L82" s="5" t="s">
        <v>113</v>
      </c>
      <c r="M82" s="5" t="s">
        <v>853</v>
      </c>
      <c r="N82" s="5" t="s">
        <v>839</v>
      </c>
      <c r="O82" s="5" t="s">
        <v>841</v>
      </c>
      <c r="P82" s="5" t="s">
        <v>1673</v>
      </c>
      <c r="Q82" s="5" t="s">
        <v>1550</v>
      </c>
      <c r="R82" s="5" t="s">
        <v>843</v>
      </c>
      <c r="S82" s="7" t="s">
        <v>1674</v>
      </c>
    </row>
    <row r="83" spans="1:19" ht="44" customHeight="1">
      <c r="A83" s="5" t="s">
        <v>13</v>
      </c>
      <c r="B83" s="5" t="s">
        <v>1675</v>
      </c>
      <c r="C83" s="5" t="s">
        <v>1672</v>
      </c>
      <c r="D83" s="6">
        <v>17500000</v>
      </c>
      <c r="E83" s="8">
        <v>45440.48333333333</v>
      </c>
      <c r="F83" s="16">
        <v>45443.416666666657</v>
      </c>
      <c r="G83" s="5" t="s">
        <v>27</v>
      </c>
      <c r="H83" s="5" t="s">
        <v>1676</v>
      </c>
      <c r="I83" s="5" t="s">
        <v>837</v>
      </c>
      <c r="J83" s="5" t="s">
        <v>838</v>
      </c>
      <c r="K83" s="5" t="s">
        <v>113</v>
      </c>
      <c r="L83" s="5" t="s">
        <v>113</v>
      </c>
      <c r="M83" s="5" t="s">
        <v>99</v>
      </c>
      <c r="N83" s="5" t="s">
        <v>839</v>
      </c>
      <c r="O83" s="5" t="s">
        <v>841</v>
      </c>
      <c r="P83" s="5" t="s">
        <v>1673</v>
      </c>
      <c r="Q83" s="5" t="s">
        <v>1677</v>
      </c>
      <c r="R83" s="5" t="s">
        <v>1678</v>
      </c>
      <c r="S83" s="7" t="s">
        <v>1679</v>
      </c>
    </row>
    <row r="84" spans="1:19" ht="44" customHeight="1">
      <c r="A84" s="5" t="s">
        <v>13</v>
      </c>
      <c r="B84" s="5" t="s">
        <v>600</v>
      </c>
      <c r="C84" s="5" t="s">
        <v>563</v>
      </c>
      <c r="D84" s="6">
        <v>113000000</v>
      </c>
      <c r="E84" s="8">
        <v>45441.434027777781</v>
      </c>
      <c r="F84" s="16">
        <v>45455.708333333343</v>
      </c>
      <c r="G84" s="5" t="s">
        <v>27</v>
      </c>
      <c r="H84" s="5" t="s">
        <v>1680</v>
      </c>
      <c r="I84" s="5" t="s">
        <v>847</v>
      </c>
      <c r="J84" s="5" t="s">
        <v>848</v>
      </c>
      <c r="K84" s="5" t="s">
        <v>113</v>
      </c>
      <c r="L84" s="5" t="s">
        <v>872</v>
      </c>
      <c r="M84" s="5" t="s">
        <v>853</v>
      </c>
      <c r="N84" s="5" t="s">
        <v>839</v>
      </c>
      <c r="O84" s="5" t="s">
        <v>840</v>
      </c>
      <c r="P84" s="5" t="s">
        <v>841</v>
      </c>
      <c r="Q84" s="5" t="s">
        <v>441</v>
      </c>
      <c r="R84" s="5" t="s">
        <v>843</v>
      </c>
      <c r="S84" s="7" t="s">
        <v>601</v>
      </c>
    </row>
    <row r="85" spans="1:19" ht="44" customHeight="1">
      <c r="A85" s="5" t="s">
        <v>13</v>
      </c>
      <c r="B85" s="5" t="s">
        <v>1681</v>
      </c>
      <c r="C85" s="5" t="s">
        <v>892</v>
      </c>
      <c r="D85" s="6">
        <v>91822000</v>
      </c>
      <c r="E85" s="8">
        <v>45451.448611111111</v>
      </c>
      <c r="F85" s="16">
        <v>45462.541666666657</v>
      </c>
      <c r="G85" s="5" t="s">
        <v>27</v>
      </c>
      <c r="H85" s="5" t="s">
        <v>113</v>
      </c>
      <c r="I85" s="17" t="s">
        <v>851</v>
      </c>
      <c r="J85" s="5" t="s">
        <v>852</v>
      </c>
      <c r="K85" s="5" t="s">
        <v>113</v>
      </c>
      <c r="L85" s="5" t="s">
        <v>113</v>
      </c>
      <c r="M85" s="5" t="s">
        <v>853</v>
      </c>
      <c r="N85" s="5" t="s">
        <v>839</v>
      </c>
      <c r="O85" s="5" t="s">
        <v>840</v>
      </c>
      <c r="P85" s="5" t="s">
        <v>841</v>
      </c>
      <c r="Q85" s="5" t="s">
        <v>441</v>
      </c>
      <c r="R85" s="5" t="s">
        <v>843</v>
      </c>
      <c r="S85" s="7" t="s">
        <v>1682</v>
      </c>
    </row>
    <row r="86" spans="1:19" ht="44" customHeight="1">
      <c r="A86" s="5" t="s">
        <v>13</v>
      </c>
      <c r="B86" s="5" t="s">
        <v>764</v>
      </c>
      <c r="C86" s="5" t="s">
        <v>396</v>
      </c>
      <c r="D86" s="6">
        <v>140000000</v>
      </c>
      <c r="E86" s="8">
        <v>45460.820138888892</v>
      </c>
      <c r="F86" s="16">
        <v>45471.458333333343</v>
      </c>
      <c r="G86" s="5" t="s">
        <v>27</v>
      </c>
      <c r="H86" s="5" t="s">
        <v>759</v>
      </c>
      <c r="I86" s="17" t="s">
        <v>851</v>
      </c>
      <c r="J86" s="5" t="s">
        <v>852</v>
      </c>
      <c r="K86" s="5" t="s">
        <v>113</v>
      </c>
      <c r="L86" s="5" t="s">
        <v>113</v>
      </c>
      <c r="M86" s="5" t="s">
        <v>853</v>
      </c>
      <c r="N86" s="5" t="s">
        <v>839</v>
      </c>
      <c r="O86" s="5" t="s">
        <v>841</v>
      </c>
      <c r="P86" s="5" t="s">
        <v>841</v>
      </c>
      <c r="Q86" s="5" t="s">
        <v>441</v>
      </c>
      <c r="R86" s="5" t="s">
        <v>843</v>
      </c>
      <c r="S86" s="7" t="s">
        <v>765</v>
      </c>
    </row>
    <row r="87" spans="1:19" ht="44" customHeight="1">
      <c r="A87" s="5" t="s">
        <v>13</v>
      </c>
      <c r="B87" s="5" t="s">
        <v>1683</v>
      </c>
      <c r="C87" s="5" t="s">
        <v>752</v>
      </c>
      <c r="D87" s="6">
        <v>19961700</v>
      </c>
      <c r="E87" s="8">
        <v>45481.621527777781</v>
      </c>
      <c r="F87" s="16">
        <v>45483.416666666657</v>
      </c>
      <c r="G87" s="5" t="s">
        <v>27</v>
      </c>
      <c r="H87" s="5" t="s">
        <v>1684</v>
      </c>
      <c r="I87" s="17" t="s">
        <v>851</v>
      </c>
      <c r="J87" s="5" t="s">
        <v>852</v>
      </c>
      <c r="K87" s="5" t="s">
        <v>113</v>
      </c>
      <c r="L87" s="5" t="s">
        <v>113</v>
      </c>
      <c r="M87" s="5" t="s">
        <v>853</v>
      </c>
      <c r="N87" s="5" t="s">
        <v>839</v>
      </c>
      <c r="O87" s="5" t="s">
        <v>841</v>
      </c>
      <c r="P87" s="5" t="s">
        <v>841</v>
      </c>
      <c r="Q87" s="5" t="s">
        <v>1550</v>
      </c>
      <c r="R87" s="5" t="s">
        <v>1685</v>
      </c>
      <c r="S87" s="7" t="s">
        <v>1686</v>
      </c>
    </row>
    <row r="88" spans="1:19" ht="44" customHeight="1">
      <c r="A88" s="5" t="s">
        <v>13</v>
      </c>
      <c r="B88" s="5" t="s">
        <v>1687</v>
      </c>
      <c r="C88" s="5" t="s">
        <v>1365</v>
      </c>
      <c r="D88" s="6">
        <v>52900000</v>
      </c>
      <c r="E88" s="8">
        <v>45497.706250000003</v>
      </c>
      <c r="F88" s="16">
        <v>45513.75</v>
      </c>
      <c r="G88" s="5" t="s">
        <v>27</v>
      </c>
      <c r="H88" s="5" t="s">
        <v>113</v>
      </c>
      <c r="I88" s="17" t="s">
        <v>851</v>
      </c>
      <c r="J88" s="5" t="s">
        <v>852</v>
      </c>
      <c r="K88" s="5" t="s">
        <v>113</v>
      </c>
      <c r="L88" s="5" t="s">
        <v>113</v>
      </c>
      <c r="M88" s="5" t="s">
        <v>853</v>
      </c>
      <c r="N88" s="5" t="s">
        <v>839</v>
      </c>
      <c r="O88" s="5" t="s">
        <v>841</v>
      </c>
      <c r="P88" s="5" t="s">
        <v>841</v>
      </c>
      <c r="Q88" s="5" t="s">
        <v>441</v>
      </c>
      <c r="R88" s="5" t="s">
        <v>843</v>
      </c>
      <c r="S88" s="7" t="s">
        <v>1688</v>
      </c>
    </row>
    <row r="89" spans="1:19" ht="44" customHeight="1">
      <c r="A89" s="5" t="s">
        <v>13</v>
      </c>
      <c r="B89" s="5" t="s">
        <v>1689</v>
      </c>
      <c r="C89" s="5" t="s">
        <v>789</v>
      </c>
      <c r="D89" s="6">
        <v>64000000</v>
      </c>
      <c r="E89" s="8">
        <v>45511.402777777781</v>
      </c>
      <c r="F89" s="16">
        <v>45523.666666666657</v>
      </c>
      <c r="G89" s="5" t="s">
        <v>27</v>
      </c>
      <c r="H89" s="5" t="s">
        <v>113</v>
      </c>
      <c r="I89" s="5" t="s">
        <v>847</v>
      </c>
      <c r="J89" s="5" t="s">
        <v>848</v>
      </c>
      <c r="K89" s="5" t="s">
        <v>942</v>
      </c>
      <c r="L89" s="5" t="s">
        <v>113</v>
      </c>
      <c r="M89" s="5" t="s">
        <v>853</v>
      </c>
      <c r="N89" s="5" t="s">
        <v>893</v>
      </c>
      <c r="O89" s="5" t="s">
        <v>840</v>
      </c>
      <c r="P89" s="5" t="s">
        <v>841</v>
      </c>
      <c r="Q89" s="5" t="s">
        <v>441</v>
      </c>
      <c r="R89" s="5" t="s">
        <v>843</v>
      </c>
      <c r="S89" s="7" t="s">
        <v>1690</v>
      </c>
    </row>
    <row r="90" spans="1:19" ht="44" customHeight="1">
      <c r="A90" s="5" t="s">
        <v>13</v>
      </c>
      <c r="B90" s="5" t="s">
        <v>1691</v>
      </c>
      <c r="C90" s="5" t="s">
        <v>1692</v>
      </c>
      <c r="D90" s="6"/>
      <c r="E90" s="8">
        <v>45513.487500000003</v>
      </c>
      <c r="F90" s="16">
        <v>45531.583333333343</v>
      </c>
      <c r="G90" s="5" t="s">
        <v>27</v>
      </c>
      <c r="H90" s="5" t="s">
        <v>113</v>
      </c>
      <c r="I90" s="5" t="s">
        <v>837</v>
      </c>
      <c r="J90" s="5" t="s">
        <v>838</v>
      </c>
      <c r="K90" s="5" t="s">
        <v>113</v>
      </c>
      <c r="L90" s="5" t="s">
        <v>113</v>
      </c>
      <c r="M90" s="5" t="s">
        <v>99</v>
      </c>
      <c r="N90" s="5" t="s">
        <v>839</v>
      </c>
      <c r="O90" s="5" t="s">
        <v>840</v>
      </c>
      <c r="P90" s="5" t="s">
        <v>841</v>
      </c>
      <c r="Q90" s="5" t="s">
        <v>1403</v>
      </c>
      <c r="R90" s="5" t="s">
        <v>843</v>
      </c>
      <c r="S90" s="7" t="s">
        <v>1693</v>
      </c>
    </row>
    <row r="91" spans="1:19" ht="44" customHeight="1">
      <c r="A91" s="5" t="s">
        <v>13</v>
      </c>
      <c r="B91" s="5" t="s">
        <v>1694</v>
      </c>
      <c r="C91" s="5" t="s">
        <v>1695</v>
      </c>
      <c r="D91" s="6">
        <v>31422600</v>
      </c>
      <c r="E91" s="8">
        <v>45516.757638888892</v>
      </c>
      <c r="F91" s="16">
        <v>45527.583333333343</v>
      </c>
      <c r="G91" s="5" t="s">
        <v>27</v>
      </c>
      <c r="H91" s="5" t="s">
        <v>113</v>
      </c>
      <c r="I91" s="17" t="s">
        <v>851</v>
      </c>
      <c r="J91" s="5" t="s">
        <v>852</v>
      </c>
      <c r="K91" s="5" t="s">
        <v>113</v>
      </c>
      <c r="L91" s="5" t="s">
        <v>113</v>
      </c>
      <c r="M91" s="5" t="s">
        <v>113</v>
      </c>
      <c r="N91" s="5" t="s">
        <v>839</v>
      </c>
      <c r="O91" s="5" t="s">
        <v>113</v>
      </c>
      <c r="P91" s="5" t="s">
        <v>841</v>
      </c>
      <c r="Q91" s="5" t="s">
        <v>372</v>
      </c>
      <c r="R91" s="5" t="s">
        <v>874</v>
      </c>
      <c r="S91" s="7" t="s">
        <v>1696</v>
      </c>
    </row>
    <row r="92" spans="1:19" ht="44" customHeight="1">
      <c r="A92" s="5" t="s">
        <v>13</v>
      </c>
      <c r="B92" s="5" t="s">
        <v>37</v>
      </c>
      <c r="C92" s="5" t="s">
        <v>38</v>
      </c>
      <c r="D92" s="6">
        <v>75000000</v>
      </c>
      <c r="E92" s="8">
        <v>45518.630555555559</v>
      </c>
      <c r="F92" s="16">
        <v>45530.5625</v>
      </c>
      <c r="G92" s="5" t="s">
        <v>27</v>
      </c>
      <c r="H92" s="5" t="s">
        <v>72</v>
      </c>
      <c r="I92" s="5" t="s">
        <v>837</v>
      </c>
      <c r="J92" s="5" t="s">
        <v>838</v>
      </c>
      <c r="K92" s="5" t="s">
        <v>113</v>
      </c>
      <c r="L92" s="5" t="s">
        <v>113</v>
      </c>
      <c r="M92" s="5" t="s">
        <v>99</v>
      </c>
      <c r="N92" s="5" t="s">
        <v>839</v>
      </c>
      <c r="O92" s="5" t="s">
        <v>841</v>
      </c>
      <c r="P92" s="5" t="s">
        <v>841</v>
      </c>
      <c r="Q92" s="5" t="s">
        <v>441</v>
      </c>
      <c r="R92" s="5" t="s">
        <v>843</v>
      </c>
      <c r="S92" s="7" t="s">
        <v>599</v>
      </c>
    </row>
    <row r="93" spans="1:19" ht="44" customHeight="1">
      <c r="A93" s="5" t="s">
        <v>13</v>
      </c>
      <c r="B93" s="5" t="s">
        <v>788</v>
      </c>
      <c r="C93" s="5" t="s">
        <v>789</v>
      </c>
      <c r="D93" s="6">
        <v>64000000</v>
      </c>
      <c r="E93" s="8">
        <v>45525.585416666669</v>
      </c>
      <c r="F93" s="16">
        <v>45537.75</v>
      </c>
      <c r="G93" s="5" t="s">
        <v>27</v>
      </c>
      <c r="H93" s="5" t="s">
        <v>1025</v>
      </c>
      <c r="I93" s="5" t="s">
        <v>847</v>
      </c>
      <c r="J93" s="5" t="s">
        <v>848</v>
      </c>
      <c r="K93" s="5" t="s">
        <v>942</v>
      </c>
      <c r="L93" s="5" t="s">
        <v>113</v>
      </c>
      <c r="M93" s="5" t="s">
        <v>853</v>
      </c>
      <c r="N93" s="5" t="s">
        <v>893</v>
      </c>
      <c r="O93" s="5" t="s">
        <v>840</v>
      </c>
      <c r="P93" s="5" t="s">
        <v>841</v>
      </c>
      <c r="Q93" s="5" t="s">
        <v>441</v>
      </c>
      <c r="R93" s="5" t="s">
        <v>843</v>
      </c>
      <c r="S93" s="7" t="s">
        <v>790</v>
      </c>
    </row>
    <row r="94" spans="1:19" ht="44" customHeight="1">
      <c r="A94" s="5" t="s">
        <v>13</v>
      </c>
      <c r="B94" s="5" t="s">
        <v>1697</v>
      </c>
      <c r="C94" s="5" t="s">
        <v>1698</v>
      </c>
      <c r="D94" s="6">
        <v>30000000</v>
      </c>
      <c r="E94" s="8">
        <v>45545.462500000001</v>
      </c>
      <c r="F94" s="16">
        <v>45559.416666666657</v>
      </c>
      <c r="G94" s="5" t="s">
        <v>27</v>
      </c>
      <c r="H94" s="5" t="s">
        <v>113</v>
      </c>
      <c r="I94" s="5" t="s">
        <v>847</v>
      </c>
      <c r="J94" s="5" t="s">
        <v>848</v>
      </c>
      <c r="K94" s="5" t="s">
        <v>868</v>
      </c>
      <c r="L94" s="5" t="s">
        <v>113</v>
      </c>
      <c r="M94" s="5" t="s">
        <v>99</v>
      </c>
      <c r="N94" s="5" t="s">
        <v>839</v>
      </c>
      <c r="O94" s="5" t="s">
        <v>841</v>
      </c>
      <c r="P94" s="5" t="s">
        <v>841</v>
      </c>
      <c r="Q94" s="5" t="s">
        <v>441</v>
      </c>
      <c r="R94" s="5" t="s">
        <v>843</v>
      </c>
      <c r="S94" s="7" t="s">
        <v>1699</v>
      </c>
    </row>
    <row r="95" spans="1:19" ht="44" customHeight="1">
      <c r="A95" s="5" t="s">
        <v>13</v>
      </c>
      <c r="B95" s="5" t="s">
        <v>1700</v>
      </c>
      <c r="C95" s="5" t="s">
        <v>399</v>
      </c>
      <c r="D95" s="6">
        <v>80900000</v>
      </c>
      <c r="E95" s="8">
        <v>45554.424305555563</v>
      </c>
      <c r="F95" s="16">
        <v>45565.416666666657</v>
      </c>
      <c r="G95" s="5" t="s">
        <v>27</v>
      </c>
      <c r="H95" s="5" t="s">
        <v>113</v>
      </c>
      <c r="I95" s="5" t="s">
        <v>847</v>
      </c>
      <c r="J95" s="5" t="s">
        <v>848</v>
      </c>
      <c r="K95" s="5" t="s">
        <v>113</v>
      </c>
      <c r="L95" s="5" t="s">
        <v>1701</v>
      </c>
      <c r="M95" s="5" t="s">
        <v>853</v>
      </c>
      <c r="N95" s="5" t="s">
        <v>839</v>
      </c>
      <c r="O95" s="5" t="s">
        <v>840</v>
      </c>
      <c r="P95" s="5" t="s">
        <v>841</v>
      </c>
      <c r="Q95" s="5" t="s">
        <v>441</v>
      </c>
      <c r="R95" s="5" t="s">
        <v>843</v>
      </c>
      <c r="S95" s="7" t="s">
        <v>1702</v>
      </c>
    </row>
    <row r="96" spans="1:19" ht="44" customHeight="1">
      <c r="A96" s="5" t="s">
        <v>13</v>
      </c>
      <c r="B96" s="5" t="s">
        <v>1703</v>
      </c>
      <c r="C96" s="5" t="s">
        <v>1704</v>
      </c>
      <c r="D96" s="6"/>
      <c r="E96" s="8">
        <v>45560.628472222219</v>
      </c>
      <c r="F96" s="16">
        <v>45580.583333333343</v>
      </c>
      <c r="G96" s="5" t="s">
        <v>27</v>
      </c>
      <c r="H96" s="5" t="s">
        <v>113</v>
      </c>
      <c r="I96" s="5" t="s">
        <v>847</v>
      </c>
      <c r="J96" s="5" t="s">
        <v>848</v>
      </c>
      <c r="K96" s="5" t="s">
        <v>113</v>
      </c>
      <c r="L96" s="5" t="s">
        <v>1705</v>
      </c>
      <c r="M96" s="5" t="s">
        <v>853</v>
      </c>
      <c r="N96" s="5" t="s">
        <v>839</v>
      </c>
      <c r="O96" s="5" t="s">
        <v>840</v>
      </c>
      <c r="P96" s="5" t="s">
        <v>841</v>
      </c>
      <c r="Q96" s="5" t="s">
        <v>1403</v>
      </c>
      <c r="R96" s="5" t="s">
        <v>843</v>
      </c>
      <c r="S96" s="7" t="s">
        <v>1706</v>
      </c>
    </row>
    <row r="97" spans="1:19" ht="44" customHeight="1">
      <c r="A97" s="5" t="s">
        <v>13</v>
      </c>
      <c r="B97" s="5" t="s">
        <v>594</v>
      </c>
      <c r="C97" s="5" t="s">
        <v>41</v>
      </c>
      <c r="D97" s="6">
        <v>57500000</v>
      </c>
      <c r="E97" s="8">
        <v>45567.638888888891</v>
      </c>
      <c r="F97" s="16">
        <v>45580.5</v>
      </c>
      <c r="G97" s="5" t="s">
        <v>27</v>
      </c>
      <c r="H97" s="5" t="s">
        <v>72</v>
      </c>
      <c r="I97" s="5" t="s">
        <v>847</v>
      </c>
      <c r="J97" s="5" t="s">
        <v>848</v>
      </c>
      <c r="K97" s="5" t="s">
        <v>989</v>
      </c>
      <c r="L97" s="5" t="s">
        <v>872</v>
      </c>
      <c r="M97" s="5" t="s">
        <v>853</v>
      </c>
      <c r="N97" s="5" t="s">
        <v>839</v>
      </c>
      <c r="O97" s="5" t="s">
        <v>840</v>
      </c>
      <c r="P97" s="5" t="s">
        <v>841</v>
      </c>
      <c r="Q97" s="5" t="s">
        <v>441</v>
      </c>
      <c r="R97" s="5" t="s">
        <v>843</v>
      </c>
      <c r="S97" s="7" t="s">
        <v>595</v>
      </c>
    </row>
    <row r="98" spans="1:19" ht="44" customHeight="1">
      <c r="A98" s="5" t="s">
        <v>13</v>
      </c>
      <c r="B98" s="5" t="s">
        <v>1707</v>
      </c>
      <c r="C98" s="5" t="s">
        <v>1708</v>
      </c>
      <c r="D98" s="6">
        <v>120000000</v>
      </c>
      <c r="E98" s="8">
        <v>45567.822222222218</v>
      </c>
      <c r="F98" s="16">
        <v>45580.416666666657</v>
      </c>
      <c r="G98" s="5" t="s">
        <v>27</v>
      </c>
      <c r="H98" s="5" t="s">
        <v>1709</v>
      </c>
      <c r="I98" s="5" t="s">
        <v>847</v>
      </c>
      <c r="J98" s="5" t="s">
        <v>848</v>
      </c>
      <c r="K98" s="5" t="s">
        <v>942</v>
      </c>
      <c r="L98" s="5" t="s">
        <v>872</v>
      </c>
      <c r="M98" s="5" t="s">
        <v>853</v>
      </c>
      <c r="N98" s="5" t="s">
        <v>893</v>
      </c>
      <c r="O98" s="5" t="s">
        <v>840</v>
      </c>
      <c r="P98" s="5" t="s">
        <v>841</v>
      </c>
      <c r="Q98" s="5" t="s">
        <v>441</v>
      </c>
      <c r="R98" s="5" t="s">
        <v>843</v>
      </c>
      <c r="S98" s="7" t="s">
        <v>1710</v>
      </c>
    </row>
    <row r="99" spans="1:19" ht="44" customHeight="1">
      <c r="A99" s="5" t="s">
        <v>13</v>
      </c>
      <c r="B99" s="5" t="s">
        <v>1703</v>
      </c>
      <c r="C99" s="5" t="s">
        <v>1704</v>
      </c>
      <c r="D99" s="6"/>
      <c r="E99" s="8">
        <v>45569.416666666657</v>
      </c>
      <c r="F99" s="16">
        <v>45583.625</v>
      </c>
      <c r="G99" s="5" t="s">
        <v>27</v>
      </c>
      <c r="H99" s="5" t="s">
        <v>113</v>
      </c>
      <c r="I99" s="5" t="s">
        <v>847</v>
      </c>
      <c r="J99" s="5" t="s">
        <v>848</v>
      </c>
      <c r="K99" s="5" t="s">
        <v>113</v>
      </c>
      <c r="L99" s="5" t="s">
        <v>1705</v>
      </c>
      <c r="M99" s="5" t="s">
        <v>853</v>
      </c>
      <c r="N99" s="5" t="s">
        <v>839</v>
      </c>
      <c r="O99" s="5" t="s">
        <v>840</v>
      </c>
      <c r="P99" s="5" t="s">
        <v>841</v>
      </c>
      <c r="Q99" s="5" t="s">
        <v>1403</v>
      </c>
      <c r="R99" s="5" t="s">
        <v>843</v>
      </c>
      <c r="S99" s="7" t="s">
        <v>1711</v>
      </c>
    </row>
    <row r="100" spans="1:19" ht="44" customHeight="1">
      <c r="A100" s="5" t="s">
        <v>13</v>
      </c>
      <c r="B100" s="5" t="s">
        <v>1712</v>
      </c>
      <c r="C100" s="5" t="s">
        <v>1243</v>
      </c>
      <c r="D100" s="6">
        <v>70000000</v>
      </c>
      <c r="E100" s="8">
        <v>45575.685416666667</v>
      </c>
      <c r="F100" s="16">
        <v>45581.666666666657</v>
      </c>
      <c r="G100" s="5" t="s">
        <v>27</v>
      </c>
      <c r="H100" s="5" t="s">
        <v>1713</v>
      </c>
      <c r="I100" s="5" t="s">
        <v>837</v>
      </c>
      <c r="J100" s="5" t="s">
        <v>838</v>
      </c>
      <c r="K100" s="5" t="s">
        <v>113</v>
      </c>
      <c r="L100" s="5" t="s">
        <v>113</v>
      </c>
      <c r="M100" s="5" t="s">
        <v>99</v>
      </c>
      <c r="N100" s="5" t="s">
        <v>839</v>
      </c>
      <c r="O100" s="5" t="s">
        <v>840</v>
      </c>
      <c r="P100" s="5" t="s">
        <v>841</v>
      </c>
      <c r="Q100" s="5" t="s">
        <v>441</v>
      </c>
      <c r="R100" s="5" t="s">
        <v>843</v>
      </c>
      <c r="S100" s="7" t="s">
        <v>1714</v>
      </c>
    </row>
    <row r="101" spans="1:19" ht="44" customHeight="1">
      <c r="A101" s="5" t="s">
        <v>13</v>
      </c>
      <c r="B101" s="5" t="s">
        <v>649</v>
      </c>
      <c r="C101" s="5" t="s">
        <v>642</v>
      </c>
      <c r="D101" s="6">
        <v>445400000</v>
      </c>
      <c r="E101" s="8">
        <v>45576.40902777778</v>
      </c>
      <c r="F101" s="16">
        <v>45587.416666666657</v>
      </c>
      <c r="G101" s="5" t="s">
        <v>27</v>
      </c>
      <c r="H101" s="5" t="s">
        <v>1715</v>
      </c>
      <c r="I101" s="5" t="s">
        <v>847</v>
      </c>
      <c r="J101" s="5" t="s">
        <v>848</v>
      </c>
      <c r="K101" s="5" t="s">
        <v>942</v>
      </c>
      <c r="L101" s="5" t="s">
        <v>1716</v>
      </c>
      <c r="M101" s="5" t="s">
        <v>853</v>
      </c>
      <c r="N101" s="5" t="s">
        <v>893</v>
      </c>
      <c r="O101" s="5" t="s">
        <v>841</v>
      </c>
      <c r="P101" s="5" t="s">
        <v>841</v>
      </c>
      <c r="Q101" s="5" t="s">
        <v>441</v>
      </c>
      <c r="R101" s="5" t="s">
        <v>843</v>
      </c>
      <c r="S101" s="7" t="s">
        <v>650</v>
      </c>
    </row>
    <row r="102" spans="1:19" ht="44" customHeight="1">
      <c r="A102" s="5" t="s">
        <v>13</v>
      </c>
      <c r="B102" s="5" t="s">
        <v>1717</v>
      </c>
      <c r="C102" s="5" t="s">
        <v>1718</v>
      </c>
      <c r="D102" s="6"/>
      <c r="E102" s="8">
        <v>45580.43472222222</v>
      </c>
      <c r="F102" s="16">
        <v>45590.625</v>
      </c>
      <c r="G102" s="5" t="s">
        <v>27</v>
      </c>
      <c r="H102" s="5" t="s">
        <v>113</v>
      </c>
      <c r="I102" s="17" t="s">
        <v>851</v>
      </c>
      <c r="J102" s="5" t="s">
        <v>852</v>
      </c>
      <c r="K102" s="5" t="s">
        <v>113</v>
      </c>
      <c r="L102" s="5" t="s">
        <v>113</v>
      </c>
      <c r="M102" s="5" t="s">
        <v>113</v>
      </c>
      <c r="N102" s="5" t="s">
        <v>839</v>
      </c>
      <c r="O102" s="5" t="s">
        <v>113</v>
      </c>
      <c r="P102" s="5" t="s">
        <v>841</v>
      </c>
      <c r="Q102" s="5" t="s">
        <v>1403</v>
      </c>
      <c r="R102" s="5" t="s">
        <v>874</v>
      </c>
      <c r="S102" s="7" t="s">
        <v>1719</v>
      </c>
    </row>
    <row r="103" spans="1:19" ht="44" customHeight="1">
      <c r="A103" s="5" t="s">
        <v>13</v>
      </c>
      <c r="B103" s="5" t="s">
        <v>1720</v>
      </c>
      <c r="C103" s="5" t="s">
        <v>491</v>
      </c>
      <c r="D103" s="6">
        <v>59653250</v>
      </c>
      <c r="E103" s="8">
        <v>45581.601388888892</v>
      </c>
      <c r="F103" s="16">
        <v>45593.458333333343</v>
      </c>
      <c r="G103" s="5" t="s">
        <v>27</v>
      </c>
      <c r="H103" s="5" t="s">
        <v>113</v>
      </c>
      <c r="I103" s="17" t="s">
        <v>851</v>
      </c>
      <c r="J103" s="5" t="s">
        <v>852</v>
      </c>
      <c r="K103" s="5" t="s">
        <v>113</v>
      </c>
      <c r="L103" s="5" t="s">
        <v>113</v>
      </c>
      <c r="M103" s="5" t="s">
        <v>853</v>
      </c>
      <c r="N103" s="5" t="s">
        <v>839</v>
      </c>
      <c r="O103" s="5" t="s">
        <v>841</v>
      </c>
      <c r="P103" s="5" t="s">
        <v>841</v>
      </c>
      <c r="Q103" s="5" t="s">
        <v>441</v>
      </c>
      <c r="R103" s="5" t="s">
        <v>843</v>
      </c>
      <c r="S103" s="7" t="s">
        <v>1721</v>
      </c>
    </row>
    <row r="104" spans="1:19" ht="44" customHeight="1">
      <c r="A104" s="5" t="s">
        <v>13</v>
      </c>
      <c r="B104" s="5" t="s">
        <v>1722</v>
      </c>
      <c r="C104" s="5" t="s">
        <v>1704</v>
      </c>
      <c r="D104" s="6"/>
      <c r="E104" s="8">
        <v>45583.443055555559</v>
      </c>
      <c r="F104" s="16">
        <v>45594.625</v>
      </c>
      <c r="G104" s="5" t="s">
        <v>27</v>
      </c>
      <c r="H104" s="5" t="s">
        <v>113</v>
      </c>
      <c r="I104" s="5" t="s">
        <v>847</v>
      </c>
      <c r="J104" s="5" t="s">
        <v>848</v>
      </c>
      <c r="K104" s="5" t="s">
        <v>113</v>
      </c>
      <c r="L104" s="5" t="s">
        <v>1705</v>
      </c>
      <c r="M104" s="5" t="s">
        <v>853</v>
      </c>
      <c r="N104" s="5" t="s">
        <v>839</v>
      </c>
      <c r="O104" s="5" t="s">
        <v>840</v>
      </c>
      <c r="P104" s="5" t="s">
        <v>841</v>
      </c>
      <c r="Q104" s="5" t="s">
        <v>1403</v>
      </c>
      <c r="R104" s="5" t="s">
        <v>843</v>
      </c>
      <c r="S104" s="7" t="s">
        <v>1723</v>
      </c>
    </row>
    <row r="105" spans="1:19" ht="44" customHeight="1">
      <c r="A105" s="5" t="s">
        <v>13</v>
      </c>
      <c r="B105" s="5" t="s">
        <v>1724</v>
      </c>
      <c r="C105" s="5" t="s">
        <v>1315</v>
      </c>
      <c r="D105" s="6">
        <v>99000000</v>
      </c>
      <c r="E105" s="8">
        <v>45586.35833333333</v>
      </c>
      <c r="F105" s="16">
        <v>45597.416666666657</v>
      </c>
      <c r="G105" s="5" t="s">
        <v>27</v>
      </c>
      <c r="H105" s="5" t="s">
        <v>1725</v>
      </c>
      <c r="I105" s="5" t="s">
        <v>847</v>
      </c>
      <c r="J105" s="5" t="s">
        <v>848</v>
      </c>
      <c r="K105" s="5" t="s">
        <v>942</v>
      </c>
      <c r="L105" s="5" t="s">
        <v>872</v>
      </c>
      <c r="M105" s="5" t="s">
        <v>853</v>
      </c>
      <c r="N105" s="5" t="s">
        <v>839</v>
      </c>
      <c r="O105" s="5" t="s">
        <v>840</v>
      </c>
      <c r="P105" s="5" t="s">
        <v>841</v>
      </c>
      <c r="Q105" s="5" t="s">
        <v>441</v>
      </c>
      <c r="R105" s="5" t="s">
        <v>843</v>
      </c>
      <c r="S105" s="7" t="s">
        <v>1726</v>
      </c>
    </row>
    <row r="106" spans="1:19" ht="44" customHeight="1">
      <c r="A106" s="5" t="s">
        <v>13</v>
      </c>
      <c r="B106" s="5" t="s">
        <v>802</v>
      </c>
      <c r="C106" s="5" t="s">
        <v>803</v>
      </c>
      <c r="D106" s="6">
        <v>110000000</v>
      </c>
      <c r="E106" s="8">
        <v>45587.706944444442</v>
      </c>
      <c r="F106" s="16">
        <v>45597.708333333343</v>
      </c>
      <c r="G106" s="5" t="s">
        <v>27</v>
      </c>
      <c r="H106" s="5" t="s">
        <v>793</v>
      </c>
      <c r="I106" s="17" t="s">
        <v>851</v>
      </c>
      <c r="J106" s="5" t="s">
        <v>852</v>
      </c>
      <c r="K106" s="5" t="s">
        <v>113</v>
      </c>
      <c r="L106" s="5" t="s">
        <v>113</v>
      </c>
      <c r="M106" s="5" t="s">
        <v>853</v>
      </c>
      <c r="N106" s="5" t="s">
        <v>839</v>
      </c>
      <c r="O106" s="5" t="s">
        <v>841</v>
      </c>
      <c r="P106" s="5" t="s">
        <v>1727</v>
      </c>
      <c r="Q106" s="5" t="s">
        <v>441</v>
      </c>
      <c r="R106" s="5" t="s">
        <v>843</v>
      </c>
      <c r="S106" s="7" t="s">
        <v>804</v>
      </c>
    </row>
    <row r="107" spans="1:19" ht="44" customHeight="1">
      <c r="A107" s="5" t="s">
        <v>13</v>
      </c>
      <c r="B107" s="5" t="s">
        <v>1728</v>
      </c>
      <c r="C107" s="5" t="s">
        <v>782</v>
      </c>
      <c r="D107" s="6">
        <v>50000000</v>
      </c>
      <c r="E107" s="8">
        <v>45593.663194444453</v>
      </c>
      <c r="F107" s="16">
        <v>45604.416666666657</v>
      </c>
      <c r="G107" s="5" t="s">
        <v>27</v>
      </c>
      <c r="H107" s="5" t="s">
        <v>1729</v>
      </c>
      <c r="I107" s="5" t="s">
        <v>847</v>
      </c>
      <c r="J107" s="5" t="s">
        <v>848</v>
      </c>
      <c r="K107" s="5" t="s">
        <v>942</v>
      </c>
      <c r="L107" s="5" t="s">
        <v>872</v>
      </c>
      <c r="M107" s="5" t="s">
        <v>853</v>
      </c>
      <c r="N107" s="5" t="s">
        <v>839</v>
      </c>
      <c r="O107" s="5" t="s">
        <v>840</v>
      </c>
      <c r="P107" s="5" t="s">
        <v>1730</v>
      </c>
      <c r="Q107" s="5" t="s">
        <v>441</v>
      </c>
      <c r="R107" s="5" t="s">
        <v>843</v>
      </c>
      <c r="S107" s="7" t="s">
        <v>1731</v>
      </c>
    </row>
    <row r="108" spans="1:19" ht="44" customHeight="1">
      <c r="A108" s="5" t="s">
        <v>13</v>
      </c>
      <c r="B108" s="5" t="s">
        <v>1732</v>
      </c>
      <c r="C108" s="5" t="s">
        <v>1371</v>
      </c>
      <c r="D108" s="6">
        <v>30000000</v>
      </c>
      <c r="E108" s="8">
        <v>45615.602083333331</v>
      </c>
      <c r="F108" s="16">
        <v>45625.625</v>
      </c>
      <c r="G108" s="5" t="s">
        <v>27</v>
      </c>
      <c r="H108" s="5" t="s">
        <v>113</v>
      </c>
      <c r="I108" s="5" t="s">
        <v>847</v>
      </c>
      <c r="J108" s="5" t="s">
        <v>848</v>
      </c>
      <c r="K108" s="5" t="s">
        <v>1372</v>
      </c>
      <c r="L108" s="5" t="s">
        <v>113</v>
      </c>
      <c r="M108" s="5" t="s">
        <v>853</v>
      </c>
      <c r="N108" s="5" t="s">
        <v>839</v>
      </c>
      <c r="O108" s="5" t="s">
        <v>841</v>
      </c>
      <c r="P108" s="5" t="s">
        <v>841</v>
      </c>
      <c r="Q108" s="5" t="s">
        <v>441</v>
      </c>
      <c r="R108" s="5" t="s">
        <v>843</v>
      </c>
      <c r="S108" s="7" t="s">
        <v>1733</v>
      </c>
    </row>
    <row r="109" spans="1:19" ht="44" customHeight="1">
      <c r="A109" s="5" t="s">
        <v>13</v>
      </c>
      <c r="B109" s="5" t="s">
        <v>1734</v>
      </c>
      <c r="C109" s="5" t="s">
        <v>581</v>
      </c>
      <c r="D109" s="6">
        <v>177000000</v>
      </c>
      <c r="E109" s="8">
        <v>45643.456250000003</v>
      </c>
      <c r="F109" s="16">
        <v>45656.416666666657</v>
      </c>
      <c r="G109" s="5" t="s">
        <v>27</v>
      </c>
      <c r="H109" s="5" t="s">
        <v>1735</v>
      </c>
      <c r="I109" s="5" t="s">
        <v>847</v>
      </c>
      <c r="J109" s="5" t="s">
        <v>848</v>
      </c>
      <c r="K109" s="5" t="s">
        <v>113</v>
      </c>
      <c r="L109" s="5" t="s">
        <v>872</v>
      </c>
      <c r="M109" s="5" t="s">
        <v>99</v>
      </c>
      <c r="N109" s="5" t="s">
        <v>839</v>
      </c>
      <c r="O109" s="5" t="s">
        <v>840</v>
      </c>
      <c r="P109" s="5" t="s">
        <v>841</v>
      </c>
      <c r="Q109" s="5" t="s">
        <v>441</v>
      </c>
      <c r="R109" s="5" t="s">
        <v>843</v>
      </c>
      <c r="S109" s="7" t="s">
        <v>1736</v>
      </c>
    </row>
    <row r="110" spans="1:19" ht="44" customHeight="1">
      <c r="A110" s="5" t="s">
        <v>13</v>
      </c>
      <c r="B110" s="5" t="s">
        <v>1737</v>
      </c>
      <c r="C110" s="5" t="s">
        <v>488</v>
      </c>
      <c r="D110" s="6">
        <v>89800000</v>
      </c>
      <c r="E110" s="8">
        <v>45654.537499999999</v>
      </c>
      <c r="F110" s="16">
        <v>45666.416666666657</v>
      </c>
      <c r="G110" s="5" t="s">
        <v>27</v>
      </c>
      <c r="H110" s="5" t="s">
        <v>1738</v>
      </c>
      <c r="I110" s="17" t="s">
        <v>851</v>
      </c>
      <c r="J110" s="5" t="s">
        <v>852</v>
      </c>
      <c r="K110" s="5" t="s">
        <v>113</v>
      </c>
      <c r="L110" s="5" t="s">
        <v>113</v>
      </c>
      <c r="M110" s="5" t="s">
        <v>853</v>
      </c>
      <c r="N110" s="5" t="s">
        <v>839</v>
      </c>
      <c r="O110" s="5" t="s">
        <v>841</v>
      </c>
      <c r="P110" s="5" t="s">
        <v>841</v>
      </c>
      <c r="Q110" s="5" t="s">
        <v>441</v>
      </c>
      <c r="R110" s="5" t="s">
        <v>843</v>
      </c>
      <c r="S110" s="7" t="s">
        <v>1739</v>
      </c>
    </row>
    <row r="112" spans="1:19" ht="24" customHeight="1">
      <c r="A112" s="23" t="s">
        <v>1740</v>
      </c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spans="1:19" ht="36" customHeight="1">
      <c r="A113" s="4" t="s">
        <v>6</v>
      </c>
      <c r="B113" s="4" t="s">
        <v>17</v>
      </c>
      <c r="C113" s="4" t="s">
        <v>18</v>
      </c>
      <c r="D113" s="4" t="s">
        <v>19</v>
      </c>
      <c r="E113" s="4" t="s">
        <v>21</v>
      </c>
      <c r="F113" s="4" t="s">
        <v>27</v>
      </c>
      <c r="G113" s="4" t="s">
        <v>22</v>
      </c>
      <c r="H113" s="4" t="s">
        <v>824</v>
      </c>
      <c r="I113" s="4" t="s">
        <v>825</v>
      </c>
      <c r="J113" s="4" t="s">
        <v>826</v>
      </c>
      <c r="K113" s="4" t="s">
        <v>827</v>
      </c>
      <c r="L113" s="4" t="s">
        <v>828</v>
      </c>
      <c r="M113" s="4" t="s">
        <v>829</v>
      </c>
      <c r="N113" s="4" t="s">
        <v>830</v>
      </c>
      <c r="O113" s="4" t="s">
        <v>831</v>
      </c>
      <c r="P113" s="4" t="s">
        <v>832</v>
      </c>
      <c r="Q113" s="4" t="s">
        <v>358</v>
      </c>
      <c r="R113" s="4" t="s">
        <v>833</v>
      </c>
      <c r="S113" s="4" t="s">
        <v>834</v>
      </c>
    </row>
    <row r="114" spans="1:19" ht="44" customHeight="1">
      <c r="A114" s="5" t="s">
        <v>14</v>
      </c>
      <c r="B114" s="5" t="s">
        <v>467</v>
      </c>
      <c r="C114" s="5" t="s">
        <v>388</v>
      </c>
      <c r="D114" s="6">
        <v>158000000</v>
      </c>
      <c r="E114" s="8">
        <v>45313.361805555563</v>
      </c>
      <c r="F114" s="16">
        <v>45324.583333333343</v>
      </c>
      <c r="G114" s="5" t="s">
        <v>27</v>
      </c>
      <c r="H114" s="5" t="s">
        <v>113</v>
      </c>
      <c r="I114" s="14" t="s">
        <v>1040</v>
      </c>
      <c r="J114" s="5" t="s">
        <v>1041</v>
      </c>
      <c r="K114" s="5" t="s">
        <v>875</v>
      </c>
      <c r="L114" s="5" t="s">
        <v>113</v>
      </c>
      <c r="M114" s="5" t="s">
        <v>113</v>
      </c>
      <c r="N114" s="5" t="s">
        <v>839</v>
      </c>
      <c r="O114" s="5" t="s">
        <v>113</v>
      </c>
      <c r="P114" s="5" t="s">
        <v>841</v>
      </c>
      <c r="Q114" s="5" t="s">
        <v>441</v>
      </c>
      <c r="R114" s="5" t="s">
        <v>874</v>
      </c>
      <c r="S114" s="7" t="s">
        <v>468</v>
      </c>
    </row>
    <row r="115" spans="1:19" ht="44" customHeight="1">
      <c r="A115" s="5" t="s">
        <v>14</v>
      </c>
      <c r="B115" s="5" t="s">
        <v>538</v>
      </c>
      <c r="C115" s="5" t="s">
        <v>388</v>
      </c>
      <c r="D115" s="6">
        <v>158000000</v>
      </c>
      <c r="E115" s="8">
        <v>45320.386805555558</v>
      </c>
      <c r="F115" s="16">
        <v>45337.583333333343</v>
      </c>
      <c r="G115" s="5" t="s">
        <v>27</v>
      </c>
      <c r="H115" s="5" t="s">
        <v>113</v>
      </c>
      <c r="I115" s="14" t="s">
        <v>1040</v>
      </c>
      <c r="J115" s="5" t="s">
        <v>1041</v>
      </c>
      <c r="K115" s="5" t="s">
        <v>875</v>
      </c>
      <c r="L115" s="5" t="s">
        <v>113</v>
      </c>
      <c r="M115" s="5" t="s">
        <v>113</v>
      </c>
      <c r="N115" s="5" t="s">
        <v>839</v>
      </c>
      <c r="O115" s="5" t="s">
        <v>113</v>
      </c>
      <c r="P115" s="5" t="s">
        <v>841</v>
      </c>
      <c r="Q115" s="5" t="s">
        <v>441</v>
      </c>
      <c r="R115" s="5" t="s">
        <v>874</v>
      </c>
      <c r="S115" s="7" t="s">
        <v>539</v>
      </c>
    </row>
    <row r="116" spans="1:19" ht="44" customHeight="1">
      <c r="A116" s="5" t="s">
        <v>14</v>
      </c>
      <c r="B116" s="5" t="s">
        <v>536</v>
      </c>
      <c r="C116" s="5" t="s">
        <v>388</v>
      </c>
      <c r="D116" s="6">
        <v>158000000</v>
      </c>
      <c r="E116" s="8">
        <v>45320.393750000003</v>
      </c>
      <c r="F116" s="16">
        <v>45337.583333333343</v>
      </c>
      <c r="G116" s="5" t="s">
        <v>27</v>
      </c>
      <c r="H116" s="5" t="s">
        <v>113</v>
      </c>
      <c r="I116" s="14" t="s">
        <v>1040</v>
      </c>
      <c r="J116" s="5" t="s">
        <v>1041</v>
      </c>
      <c r="K116" s="5" t="s">
        <v>875</v>
      </c>
      <c r="L116" s="5" t="s">
        <v>113</v>
      </c>
      <c r="M116" s="5" t="s">
        <v>113</v>
      </c>
      <c r="N116" s="5" t="s">
        <v>839</v>
      </c>
      <c r="O116" s="5" t="s">
        <v>113</v>
      </c>
      <c r="P116" s="5" t="s">
        <v>841</v>
      </c>
      <c r="Q116" s="5" t="s">
        <v>441</v>
      </c>
      <c r="R116" s="5" t="s">
        <v>874</v>
      </c>
      <c r="S116" s="7" t="s">
        <v>537</v>
      </c>
    </row>
    <row r="117" spans="1:19" ht="44" customHeight="1">
      <c r="A117" s="5" t="s">
        <v>14</v>
      </c>
      <c r="B117" s="5" t="s">
        <v>1741</v>
      </c>
      <c r="C117" s="5" t="s">
        <v>388</v>
      </c>
      <c r="D117" s="6">
        <v>158000000</v>
      </c>
      <c r="E117" s="8">
        <v>45327.40347222222</v>
      </c>
      <c r="F117" s="16">
        <v>45343.583333333343</v>
      </c>
      <c r="G117" s="5" t="s">
        <v>27</v>
      </c>
      <c r="H117" s="5" t="s">
        <v>113</v>
      </c>
      <c r="I117" s="14" t="s">
        <v>1040</v>
      </c>
      <c r="J117" s="5" t="s">
        <v>1041</v>
      </c>
      <c r="K117" s="5" t="s">
        <v>875</v>
      </c>
      <c r="L117" s="5" t="s">
        <v>113</v>
      </c>
      <c r="M117" s="5" t="s">
        <v>113</v>
      </c>
      <c r="N117" s="5" t="s">
        <v>839</v>
      </c>
      <c r="O117" s="5" t="s">
        <v>840</v>
      </c>
      <c r="P117" s="5" t="s">
        <v>841</v>
      </c>
      <c r="Q117" s="5" t="s">
        <v>441</v>
      </c>
      <c r="R117" s="5" t="s">
        <v>874</v>
      </c>
      <c r="S117" s="7" t="s">
        <v>1742</v>
      </c>
    </row>
    <row r="118" spans="1:19" ht="44" customHeight="1">
      <c r="A118" s="5" t="s">
        <v>14</v>
      </c>
      <c r="B118" s="5" t="s">
        <v>465</v>
      </c>
      <c r="C118" s="5" t="s">
        <v>388</v>
      </c>
      <c r="D118" s="6">
        <v>158000000</v>
      </c>
      <c r="E118" s="8">
        <v>45327.409722222219</v>
      </c>
      <c r="F118" s="16">
        <v>45343.583333333343</v>
      </c>
      <c r="G118" s="5" t="s">
        <v>27</v>
      </c>
      <c r="H118" s="5" t="s">
        <v>113</v>
      </c>
      <c r="I118" s="14" t="s">
        <v>1040</v>
      </c>
      <c r="J118" s="5" t="s">
        <v>1041</v>
      </c>
      <c r="K118" s="5" t="s">
        <v>875</v>
      </c>
      <c r="L118" s="5" t="s">
        <v>113</v>
      </c>
      <c r="M118" s="5" t="s">
        <v>113</v>
      </c>
      <c r="N118" s="5" t="s">
        <v>839</v>
      </c>
      <c r="O118" s="5" t="s">
        <v>840</v>
      </c>
      <c r="P118" s="5" t="s">
        <v>841</v>
      </c>
      <c r="Q118" s="5" t="s">
        <v>441</v>
      </c>
      <c r="R118" s="5" t="s">
        <v>874</v>
      </c>
      <c r="S118" s="7" t="s">
        <v>466</v>
      </c>
    </row>
    <row r="119" spans="1:19" ht="44" customHeight="1">
      <c r="A119" s="5" t="s">
        <v>14</v>
      </c>
      <c r="B119" s="5" t="s">
        <v>533</v>
      </c>
      <c r="C119" s="5" t="s">
        <v>534</v>
      </c>
      <c r="D119" s="6">
        <v>35000000</v>
      </c>
      <c r="E119" s="8">
        <v>45337.60833333333</v>
      </c>
      <c r="F119" s="16">
        <v>45348.625</v>
      </c>
      <c r="G119" s="5" t="s">
        <v>27</v>
      </c>
      <c r="H119" s="5" t="s">
        <v>68</v>
      </c>
      <c r="I119" s="5" t="s">
        <v>1037</v>
      </c>
      <c r="J119" s="5" t="s">
        <v>1038</v>
      </c>
      <c r="K119" s="5" t="s">
        <v>113</v>
      </c>
      <c r="L119" s="5" t="s">
        <v>113</v>
      </c>
      <c r="M119" s="5" t="s">
        <v>113</v>
      </c>
      <c r="N119" s="5" t="s">
        <v>839</v>
      </c>
      <c r="O119" s="5" t="s">
        <v>113</v>
      </c>
      <c r="P119" s="5" t="s">
        <v>841</v>
      </c>
      <c r="Q119" s="5" t="s">
        <v>441</v>
      </c>
      <c r="R119" s="5" t="s">
        <v>874</v>
      </c>
      <c r="S119" s="7" t="s">
        <v>535</v>
      </c>
    </row>
    <row r="120" spans="1:19" ht="44" customHeight="1">
      <c r="A120" s="5" t="s">
        <v>14</v>
      </c>
      <c r="B120" s="5" t="s">
        <v>570</v>
      </c>
      <c r="C120" s="5" t="s">
        <v>368</v>
      </c>
      <c r="D120" s="6">
        <v>400000000</v>
      </c>
      <c r="E120" s="8">
        <v>45337.634722222218</v>
      </c>
      <c r="F120" s="16">
        <v>45351.666666666657</v>
      </c>
      <c r="G120" s="5" t="s">
        <v>27</v>
      </c>
      <c r="H120" s="5" t="s">
        <v>786</v>
      </c>
      <c r="I120" s="5" t="s">
        <v>1037</v>
      </c>
      <c r="J120" s="5" t="s">
        <v>1038</v>
      </c>
      <c r="K120" s="5" t="s">
        <v>113</v>
      </c>
      <c r="L120" s="5" t="s">
        <v>113</v>
      </c>
      <c r="M120" s="5" t="s">
        <v>113</v>
      </c>
      <c r="N120" s="5" t="s">
        <v>893</v>
      </c>
      <c r="O120" s="5" t="s">
        <v>113</v>
      </c>
      <c r="P120" s="5" t="s">
        <v>841</v>
      </c>
      <c r="Q120" s="5" t="s">
        <v>441</v>
      </c>
      <c r="R120" s="5" t="s">
        <v>874</v>
      </c>
      <c r="S120" s="7" t="s">
        <v>571</v>
      </c>
    </row>
    <row r="121" spans="1:19" ht="44" customHeight="1">
      <c r="A121" s="5" t="s">
        <v>14</v>
      </c>
      <c r="B121" s="5" t="s">
        <v>531</v>
      </c>
      <c r="C121" s="5" t="s">
        <v>428</v>
      </c>
      <c r="D121" s="6">
        <v>191490900</v>
      </c>
      <c r="E121" s="8">
        <v>45338.544444444437</v>
      </c>
      <c r="F121" s="16">
        <v>45351.416666666657</v>
      </c>
      <c r="G121" s="5" t="s">
        <v>27</v>
      </c>
      <c r="H121" s="5" t="s">
        <v>632</v>
      </c>
      <c r="I121" s="14" t="s">
        <v>1040</v>
      </c>
      <c r="J121" s="5" t="s">
        <v>1041</v>
      </c>
      <c r="K121" s="5" t="s">
        <v>875</v>
      </c>
      <c r="L121" s="5" t="s">
        <v>1015</v>
      </c>
      <c r="M121" s="5" t="s">
        <v>113</v>
      </c>
      <c r="N121" s="5" t="s">
        <v>839</v>
      </c>
      <c r="O121" s="5" t="s">
        <v>840</v>
      </c>
      <c r="P121" s="5" t="s">
        <v>841</v>
      </c>
      <c r="Q121" s="5" t="s">
        <v>422</v>
      </c>
      <c r="R121" s="5" t="s">
        <v>874</v>
      </c>
      <c r="S121" s="7" t="s">
        <v>532</v>
      </c>
    </row>
    <row r="122" spans="1:19" ht="44" customHeight="1">
      <c r="A122" s="5" t="s">
        <v>14</v>
      </c>
      <c r="B122" s="5" t="s">
        <v>463</v>
      </c>
      <c r="C122" s="5" t="s">
        <v>434</v>
      </c>
      <c r="D122" s="6">
        <v>240000000</v>
      </c>
      <c r="E122" s="8">
        <v>45341.570138888892</v>
      </c>
      <c r="F122" s="16">
        <v>45362.708333333343</v>
      </c>
      <c r="G122" s="5" t="s">
        <v>27</v>
      </c>
      <c r="H122" s="5" t="s">
        <v>680</v>
      </c>
      <c r="I122" s="5" t="s">
        <v>1037</v>
      </c>
      <c r="J122" s="5" t="s">
        <v>1038</v>
      </c>
      <c r="K122" s="5" t="s">
        <v>113</v>
      </c>
      <c r="L122" s="5" t="s">
        <v>113</v>
      </c>
      <c r="M122" s="5" t="s">
        <v>113</v>
      </c>
      <c r="N122" s="5" t="s">
        <v>893</v>
      </c>
      <c r="O122" s="5" t="s">
        <v>113</v>
      </c>
      <c r="P122" s="5" t="s">
        <v>841</v>
      </c>
      <c r="Q122" s="5" t="s">
        <v>441</v>
      </c>
      <c r="R122" s="5" t="s">
        <v>874</v>
      </c>
      <c r="S122" s="7" t="s">
        <v>464</v>
      </c>
    </row>
    <row r="123" spans="1:19" ht="44" customHeight="1">
      <c r="A123" s="5" t="s">
        <v>14</v>
      </c>
      <c r="B123" s="5" t="s">
        <v>461</v>
      </c>
      <c r="C123" s="5" t="s">
        <v>434</v>
      </c>
      <c r="D123" s="6">
        <v>240000000</v>
      </c>
      <c r="E123" s="8">
        <v>45341.571527777778</v>
      </c>
      <c r="F123" s="16">
        <v>45362.708333333343</v>
      </c>
      <c r="G123" s="5" t="s">
        <v>27</v>
      </c>
      <c r="H123" s="5" t="s">
        <v>730</v>
      </c>
      <c r="I123" s="5" t="s">
        <v>1037</v>
      </c>
      <c r="J123" s="5" t="s">
        <v>1038</v>
      </c>
      <c r="K123" s="5" t="s">
        <v>113</v>
      </c>
      <c r="L123" s="5" t="s">
        <v>113</v>
      </c>
      <c r="M123" s="5" t="s">
        <v>113</v>
      </c>
      <c r="N123" s="5" t="s">
        <v>893</v>
      </c>
      <c r="O123" s="5" t="s">
        <v>113</v>
      </c>
      <c r="P123" s="5" t="s">
        <v>841</v>
      </c>
      <c r="Q123" s="5" t="s">
        <v>441</v>
      </c>
      <c r="R123" s="5" t="s">
        <v>874</v>
      </c>
      <c r="S123" s="7" t="s">
        <v>462</v>
      </c>
    </row>
    <row r="124" spans="1:19" ht="44" customHeight="1">
      <c r="A124" s="5" t="s">
        <v>14</v>
      </c>
      <c r="B124" s="5" t="s">
        <v>529</v>
      </c>
      <c r="C124" s="5" t="s">
        <v>434</v>
      </c>
      <c r="D124" s="6">
        <v>180000000</v>
      </c>
      <c r="E124" s="8">
        <v>45341.572916666657</v>
      </c>
      <c r="F124" s="16">
        <v>45362.708333333343</v>
      </c>
      <c r="G124" s="5" t="s">
        <v>27</v>
      </c>
      <c r="H124" s="5" t="s">
        <v>694</v>
      </c>
      <c r="I124" s="5" t="s">
        <v>1037</v>
      </c>
      <c r="J124" s="5" t="s">
        <v>1038</v>
      </c>
      <c r="K124" s="5" t="s">
        <v>113</v>
      </c>
      <c r="L124" s="5" t="s">
        <v>113</v>
      </c>
      <c r="M124" s="5" t="s">
        <v>113</v>
      </c>
      <c r="N124" s="5" t="s">
        <v>893</v>
      </c>
      <c r="O124" s="5" t="s">
        <v>113</v>
      </c>
      <c r="P124" s="5" t="s">
        <v>841</v>
      </c>
      <c r="Q124" s="5" t="s">
        <v>441</v>
      </c>
      <c r="R124" s="5" t="s">
        <v>874</v>
      </c>
      <c r="S124" s="7" t="s">
        <v>530</v>
      </c>
    </row>
    <row r="125" spans="1:19" ht="44" customHeight="1">
      <c r="A125" s="5" t="s">
        <v>14</v>
      </c>
      <c r="B125" s="5" t="s">
        <v>1743</v>
      </c>
      <c r="C125" s="5" t="s">
        <v>1192</v>
      </c>
      <c r="D125" s="6">
        <v>41000000</v>
      </c>
      <c r="E125" s="8">
        <v>45342.463888888888</v>
      </c>
      <c r="F125" s="16">
        <v>45348.458333333343</v>
      </c>
      <c r="G125" s="5" t="s">
        <v>27</v>
      </c>
      <c r="H125" s="5" t="s">
        <v>113</v>
      </c>
      <c r="I125" s="5" t="s">
        <v>1037</v>
      </c>
      <c r="J125" s="5" t="s">
        <v>1038</v>
      </c>
      <c r="K125" s="5" t="s">
        <v>113</v>
      </c>
      <c r="L125" s="5" t="s">
        <v>113</v>
      </c>
      <c r="M125" s="5" t="s">
        <v>113</v>
      </c>
      <c r="N125" s="5" t="s">
        <v>839</v>
      </c>
      <c r="O125" s="5" t="s">
        <v>113</v>
      </c>
      <c r="P125" s="5" t="s">
        <v>841</v>
      </c>
      <c r="Q125" s="5" t="s">
        <v>1171</v>
      </c>
      <c r="R125" s="5" t="s">
        <v>874</v>
      </c>
      <c r="S125" s="7" t="s">
        <v>1744</v>
      </c>
    </row>
    <row r="126" spans="1:19" ht="44" customHeight="1">
      <c r="A126" s="5" t="s">
        <v>14</v>
      </c>
      <c r="B126" s="5" t="s">
        <v>606</v>
      </c>
      <c r="C126" s="5" t="s">
        <v>607</v>
      </c>
      <c r="D126" s="6">
        <v>250000000</v>
      </c>
      <c r="E126" s="8">
        <v>45349.710416666669</v>
      </c>
      <c r="F126" s="16">
        <v>45370.458333333343</v>
      </c>
      <c r="G126" s="5" t="s">
        <v>27</v>
      </c>
      <c r="H126" s="5" t="s">
        <v>74</v>
      </c>
      <c r="I126" s="5" t="s">
        <v>847</v>
      </c>
      <c r="J126" s="5" t="s">
        <v>848</v>
      </c>
      <c r="K126" s="5" t="s">
        <v>1745</v>
      </c>
      <c r="L126" s="5" t="s">
        <v>113</v>
      </c>
      <c r="M126" s="5" t="s">
        <v>853</v>
      </c>
      <c r="N126" s="5" t="s">
        <v>839</v>
      </c>
      <c r="O126" s="5" t="s">
        <v>113</v>
      </c>
      <c r="P126" s="5" t="s">
        <v>841</v>
      </c>
      <c r="Q126" s="5" t="s">
        <v>441</v>
      </c>
      <c r="R126" s="5" t="s">
        <v>843</v>
      </c>
      <c r="S126" s="7" t="s">
        <v>608</v>
      </c>
    </row>
    <row r="127" spans="1:19" ht="44" customHeight="1">
      <c r="A127" s="5" t="s">
        <v>14</v>
      </c>
      <c r="B127" s="5" t="s">
        <v>420</v>
      </c>
      <c r="C127" s="5" t="s">
        <v>421</v>
      </c>
      <c r="D127" s="6">
        <v>200000000</v>
      </c>
      <c r="E127" s="8">
        <v>45350.63958333333</v>
      </c>
      <c r="F127" s="16">
        <v>45362.416666666657</v>
      </c>
      <c r="G127" s="5" t="s">
        <v>27</v>
      </c>
      <c r="H127" s="5" t="s">
        <v>64</v>
      </c>
      <c r="I127" s="5" t="s">
        <v>1037</v>
      </c>
      <c r="J127" s="5" t="s">
        <v>1038</v>
      </c>
      <c r="K127" s="5" t="s">
        <v>113</v>
      </c>
      <c r="L127" s="5" t="s">
        <v>113</v>
      </c>
      <c r="M127" s="5" t="s">
        <v>853</v>
      </c>
      <c r="N127" s="5" t="s">
        <v>893</v>
      </c>
      <c r="O127" s="5" t="s">
        <v>840</v>
      </c>
      <c r="P127" s="5" t="s">
        <v>841</v>
      </c>
      <c r="Q127" s="5" t="s">
        <v>441</v>
      </c>
      <c r="R127" s="5" t="s">
        <v>843</v>
      </c>
      <c r="S127" s="7" t="s">
        <v>460</v>
      </c>
    </row>
    <row r="128" spans="1:19" ht="44" customHeight="1">
      <c r="A128" s="5" t="s">
        <v>14</v>
      </c>
      <c r="B128" s="5" t="s">
        <v>604</v>
      </c>
      <c r="C128" s="5" t="s">
        <v>48</v>
      </c>
      <c r="D128" s="6">
        <v>50000000</v>
      </c>
      <c r="E128" s="8">
        <v>45358.454861111109</v>
      </c>
      <c r="F128" s="16">
        <v>45370.458333333343</v>
      </c>
      <c r="G128" s="5" t="s">
        <v>27</v>
      </c>
      <c r="H128" s="5" t="s">
        <v>1418</v>
      </c>
      <c r="I128" s="5" t="s">
        <v>847</v>
      </c>
      <c r="J128" s="5" t="s">
        <v>848</v>
      </c>
      <c r="K128" s="5" t="s">
        <v>868</v>
      </c>
      <c r="L128" s="5" t="s">
        <v>113</v>
      </c>
      <c r="M128" s="5" t="s">
        <v>853</v>
      </c>
      <c r="N128" s="5" t="s">
        <v>839</v>
      </c>
      <c r="O128" s="5" t="s">
        <v>840</v>
      </c>
      <c r="P128" s="5" t="s">
        <v>841</v>
      </c>
      <c r="Q128" s="5" t="s">
        <v>441</v>
      </c>
      <c r="R128" s="5" t="s">
        <v>843</v>
      </c>
      <c r="S128" s="7" t="s">
        <v>605</v>
      </c>
    </row>
    <row r="129" spans="1:19" ht="44" customHeight="1">
      <c r="A129" s="5" t="s">
        <v>14</v>
      </c>
      <c r="B129" s="5" t="s">
        <v>1746</v>
      </c>
      <c r="C129" s="5" t="s">
        <v>452</v>
      </c>
      <c r="D129" s="6">
        <v>830000000</v>
      </c>
      <c r="E129" s="8">
        <v>45362.423611111109</v>
      </c>
      <c r="F129" s="16">
        <v>45383.458333333343</v>
      </c>
      <c r="G129" s="5" t="s">
        <v>27</v>
      </c>
      <c r="H129" s="5" t="s">
        <v>113</v>
      </c>
      <c r="I129" s="5" t="s">
        <v>847</v>
      </c>
      <c r="J129" s="5" t="s">
        <v>848</v>
      </c>
      <c r="K129" s="5" t="s">
        <v>113</v>
      </c>
      <c r="L129" s="5" t="s">
        <v>1747</v>
      </c>
      <c r="M129" s="5" t="s">
        <v>113</v>
      </c>
      <c r="N129" s="5" t="s">
        <v>893</v>
      </c>
      <c r="O129" s="5" t="s">
        <v>113</v>
      </c>
      <c r="P129" s="5" t="s">
        <v>841</v>
      </c>
      <c r="Q129" s="5" t="s">
        <v>441</v>
      </c>
      <c r="R129" s="5" t="s">
        <v>874</v>
      </c>
      <c r="S129" s="7" t="s">
        <v>1748</v>
      </c>
    </row>
    <row r="130" spans="1:19" ht="44" customHeight="1">
      <c r="A130" s="5" t="s">
        <v>14</v>
      </c>
      <c r="B130" s="5" t="s">
        <v>1749</v>
      </c>
      <c r="C130" s="5" t="s">
        <v>458</v>
      </c>
      <c r="D130" s="6">
        <v>134000000</v>
      </c>
      <c r="E130" s="8">
        <v>45362.676388888889</v>
      </c>
      <c r="F130" s="16">
        <v>45384.416666666657</v>
      </c>
      <c r="G130" s="5" t="s">
        <v>27</v>
      </c>
      <c r="H130" s="5" t="s">
        <v>1357</v>
      </c>
      <c r="I130" s="5" t="s">
        <v>847</v>
      </c>
      <c r="J130" s="5" t="s">
        <v>848</v>
      </c>
      <c r="K130" s="5" t="s">
        <v>868</v>
      </c>
      <c r="L130" s="5" t="s">
        <v>872</v>
      </c>
      <c r="M130" s="5" t="s">
        <v>853</v>
      </c>
      <c r="N130" s="5" t="s">
        <v>893</v>
      </c>
      <c r="O130" s="5" t="s">
        <v>840</v>
      </c>
      <c r="P130" s="5" t="s">
        <v>841</v>
      </c>
      <c r="Q130" s="5" t="s">
        <v>441</v>
      </c>
      <c r="R130" s="5" t="s">
        <v>843</v>
      </c>
      <c r="S130" s="7" t="s">
        <v>1750</v>
      </c>
    </row>
    <row r="131" spans="1:19" ht="44" customHeight="1">
      <c r="A131" s="5" t="s">
        <v>14</v>
      </c>
      <c r="B131" s="5" t="s">
        <v>457</v>
      </c>
      <c r="C131" s="5" t="s">
        <v>458</v>
      </c>
      <c r="D131" s="6">
        <v>120000000</v>
      </c>
      <c r="E131" s="8">
        <v>45364.402777777781</v>
      </c>
      <c r="F131" s="16">
        <v>45377.416666666657</v>
      </c>
      <c r="G131" s="5" t="s">
        <v>27</v>
      </c>
      <c r="H131" s="5" t="s">
        <v>1751</v>
      </c>
      <c r="I131" s="5" t="s">
        <v>847</v>
      </c>
      <c r="J131" s="5" t="s">
        <v>848</v>
      </c>
      <c r="K131" s="5" t="s">
        <v>868</v>
      </c>
      <c r="L131" s="5" t="s">
        <v>872</v>
      </c>
      <c r="M131" s="5" t="s">
        <v>113</v>
      </c>
      <c r="N131" s="5" t="s">
        <v>893</v>
      </c>
      <c r="O131" s="5" t="s">
        <v>840</v>
      </c>
      <c r="P131" s="5" t="s">
        <v>841</v>
      </c>
      <c r="Q131" s="5" t="s">
        <v>441</v>
      </c>
      <c r="R131" s="5" t="s">
        <v>843</v>
      </c>
      <c r="S131" s="7" t="s">
        <v>459</v>
      </c>
    </row>
    <row r="132" spans="1:19" ht="44" customHeight="1">
      <c r="A132" s="5" t="s">
        <v>14</v>
      </c>
      <c r="B132" s="5" t="s">
        <v>454</v>
      </c>
      <c r="C132" s="5" t="s">
        <v>455</v>
      </c>
      <c r="D132" s="6">
        <v>400000000</v>
      </c>
      <c r="E132" s="8">
        <v>45364.700694444437</v>
      </c>
      <c r="F132" s="16">
        <v>45385.708333333343</v>
      </c>
      <c r="G132" s="5" t="s">
        <v>27</v>
      </c>
      <c r="H132" s="5" t="s">
        <v>1531</v>
      </c>
      <c r="I132" s="5" t="s">
        <v>837</v>
      </c>
      <c r="J132" s="5" t="s">
        <v>838</v>
      </c>
      <c r="K132" s="5" t="s">
        <v>113</v>
      </c>
      <c r="L132" s="5" t="s">
        <v>113</v>
      </c>
      <c r="M132" s="5" t="s">
        <v>99</v>
      </c>
      <c r="N132" s="5" t="s">
        <v>839</v>
      </c>
      <c r="O132" s="5" t="s">
        <v>841</v>
      </c>
      <c r="P132" s="5" t="s">
        <v>841</v>
      </c>
      <c r="Q132" s="5" t="s">
        <v>441</v>
      </c>
      <c r="R132" s="5" t="s">
        <v>843</v>
      </c>
      <c r="S132" s="7" t="s">
        <v>456</v>
      </c>
    </row>
    <row r="133" spans="1:19" ht="44" customHeight="1">
      <c r="A133" s="5" t="s">
        <v>14</v>
      </c>
      <c r="B133" s="5" t="s">
        <v>1752</v>
      </c>
      <c r="C133" s="5" t="s">
        <v>1056</v>
      </c>
      <c r="D133" s="6">
        <v>105000000</v>
      </c>
      <c r="E133" s="8">
        <v>45370.372916666667</v>
      </c>
      <c r="F133" s="16">
        <v>45391.625</v>
      </c>
      <c r="G133" s="5" t="s">
        <v>27</v>
      </c>
      <c r="H133" s="5" t="s">
        <v>113</v>
      </c>
      <c r="I133" s="5" t="s">
        <v>1037</v>
      </c>
      <c r="J133" s="5" t="s">
        <v>1038</v>
      </c>
      <c r="K133" s="5" t="s">
        <v>113</v>
      </c>
      <c r="L133" s="5" t="s">
        <v>113</v>
      </c>
      <c r="M133" s="5" t="s">
        <v>113</v>
      </c>
      <c r="N133" s="5" t="s">
        <v>839</v>
      </c>
      <c r="O133" s="5" t="s">
        <v>113</v>
      </c>
      <c r="P133" s="5" t="s">
        <v>841</v>
      </c>
      <c r="Q133" s="5" t="s">
        <v>441</v>
      </c>
      <c r="R133" s="5" t="s">
        <v>874</v>
      </c>
      <c r="S133" s="7" t="s">
        <v>1753</v>
      </c>
    </row>
    <row r="134" spans="1:19" ht="44" customHeight="1">
      <c r="A134" s="5" t="s">
        <v>14</v>
      </c>
      <c r="B134" s="5" t="s">
        <v>661</v>
      </c>
      <c r="C134" s="5" t="s">
        <v>402</v>
      </c>
      <c r="D134" s="6">
        <v>390000000</v>
      </c>
      <c r="E134" s="8">
        <v>45376.444444444453</v>
      </c>
      <c r="F134" s="16">
        <v>45397.666666666657</v>
      </c>
      <c r="G134" s="5" t="s">
        <v>27</v>
      </c>
      <c r="H134" s="5" t="s">
        <v>1425</v>
      </c>
      <c r="I134" s="14" t="s">
        <v>1040</v>
      </c>
      <c r="J134" s="5" t="s">
        <v>1041</v>
      </c>
      <c r="K134" s="5" t="s">
        <v>875</v>
      </c>
      <c r="L134" s="5" t="s">
        <v>113</v>
      </c>
      <c r="M134" s="5" t="s">
        <v>853</v>
      </c>
      <c r="N134" s="5" t="s">
        <v>893</v>
      </c>
      <c r="O134" s="5" t="s">
        <v>840</v>
      </c>
      <c r="P134" s="5" t="s">
        <v>841</v>
      </c>
      <c r="Q134" s="5" t="s">
        <v>441</v>
      </c>
      <c r="R134" s="5" t="s">
        <v>843</v>
      </c>
      <c r="S134" s="7" t="s">
        <v>662</v>
      </c>
    </row>
    <row r="135" spans="1:19" ht="44" customHeight="1">
      <c r="A135" s="5" t="s">
        <v>14</v>
      </c>
      <c r="B135" s="5" t="s">
        <v>653</v>
      </c>
      <c r="C135" s="5" t="s">
        <v>654</v>
      </c>
      <c r="D135" s="6">
        <v>48000000</v>
      </c>
      <c r="E135" s="8">
        <v>45377.606249999997</v>
      </c>
      <c r="F135" s="16">
        <v>45390.708333333343</v>
      </c>
      <c r="G135" s="5" t="s">
        <v>27</v>
      </c>
      <c r="H135" s="5" t="s">
        <v>1754</v>
      </c>
      <c r="I135" s="5" t="s">
        <v>1037</v>
      </c>
      <c r="J135" s="5" t="s">
        <v>1038</v>
      </c>
      <c r="K135" s="5" t="s">
        <v>113</v>
      </c>
      <c r="L135" s="5" t="s">
        <v>113</v>
      </c>
      <c r="M135" s="5" t="s">
        <v>113</v>
      </c>
      <c r="N135" s="5" t="s">
        <v>893</v>
      </c>
      <c r="O135" s="5" t="s">
        <v>113</v>
      </c>
      <c r="P135" s="5" t="s">
        <v>841</v>
      </c>
      <c r="Q135" s="5" t="s">
        <v>441</v>
      </c>
      <c r="R135" s="5" t="s">
        <v>874</v>
      </c>
      <c r="S135" s="7" t="s">
        <v>655</v>
      </c>
    </row>
    <row r="136" spans="1:19" ht="44" customHeight="1">
      <c r="A136" s="5" t="s">
        <v>14</v>
      </c>
      <c r="B136" s="5" t="s">
        <v>1755</v>
      </c>
      <c r="C136" s="5" t="s">
        <v>452</v>
      </c>
      <c r="D136" s="6">
        <v>830000000</v>
      </c>
      <c r="E136" s="8">
        <v>45383.693055555559</v>
      </c>
      <c r="F136" s="16">
        <v>45394.458333333343</v>
      </c>
      <c r="G136" s="5" t="s">
        <v>27</v>
      </c>
      <c r="H136" s="5" t="s">
        <v>113</v>
      </c>
      <c r="I136" s="5" t="s">
        <v>847</v>
      </c>
      <c r="J136" s="5" t="s">
        <v>848</v>
      </c>
      <c r="K136" s="5" t="s">
        <v>113</v>
      </c>
      <c r="L136" s="5" t="s">
        <v>1747</v>
      </c>
      <c r="M136" s="5" t="s">
        <v>853</v>
      </c>
      <c r="N136" s="5" t="s">
        <v>893</v>
      </c>
      <c r="O136" s="5" t="s">
        <v>840</v>
      </c>
      <c r="P136" s="5" t="s">
        <v>841</v>
      </c>
      <c r="Q136" s="5" t="s">
        <v>441</v>
      </c>
      <c r="R136" s="5" t="s">
        <v>843</v>
      </c>
      <c r="S136" s="7" t="s">
        <v>1756</v>
      </c>
    </row>
    <row r="137" spans="1:19" ht="44" customHeight="1">
      <c r="A137" s="5" t="s">
        <v>14</v>
      </c>
      <c r="B137" s="5" t="s">
        <v>451</v>
      </c>
      <c r="C137" s="5" t="s">
        <v>452</v>
      </c>
      <c r="D137" s="6">
        <v>200000000</v>
      </c>
      <c r="E137" s="8">
        <v>45384.402777777781</v>
      </c>
      <c r="F137" s="16">
        <v>45397.458333333343</v>
      </c>
      <c r="G137" s="5" t="s">
        <v>27</v>
      </c>
      <c r="H137" s="5" t="s">
        <v>64</v>
      </c>
      <c r="I137" s="5" t="s">
        <v>1037</v>
      </c>
      <c r="J137" s="5" t="s">
        <v>1038</v>
      </c>
      <c r="K137" s="5" t="s">
        <v>113</v>
      </c>
      <c r="L137" s="5" t="s">
        <v>113</v>
      </c>
      <c r="M137" s="5" t="s">
        <v>853</v>
      </c>
      <c r="N137" s="5" t="s">
        <v>893</v>
      </c>
      <c r="O137" s="5" t="s">
        <v>840</v>
      </c>
      <c r="P137" s="5" t="s">
        <v>841</v>
      </c>
      <c r="Q137" s="5" t="s">
        <v>441</v>
      </c>
      <c r="R137" s="5" t="s">
        <v>843</v>
      </c>
      <c r="S137" s="7" t="s">
        <v>453</v>
      </c>
    </row>
    <row r="138" spans="1:19" ht="44" customHeight="1">
      <c r="A138" s="5" t="s">
        <v>14</v>
      </c>
      <c r="B138" s="5" t="s">
        <v>448</v>
      </c>
      <c r="C138" s="5" t="s">
        <v>449</v>
      </c>
      <c r="D138" s="6">
        <v>201555500</v>
      </c>
      <c r="E138" s="8">
        <v>45385.654861111107</v>
      </c>
      <c r="F138" s="16">
        <v>45399.416666666657</v>
      </c>
      <c r="G138" s="5" t="s">
        <v>27</v>
      </c>
      <c r="H138" s="5" t="s">
        <v>1757</v>
      </c>
      <c r="I138" s="5" t="s">
        <v>847</v>
      </c>
      <c r="J138" s="5" t="s">
        <v>848</v>
      </c>
      <c r="K138" s="5" t="s">
        <v>942</v>
      </c>
      <c r="L138" s="5" t="s">
        <v>113</v>
      </c>
      <c r="M138" s="5" t="s">
        <v>853</v>
      </c>
      <c r="N138" s="5" t="s">
        <v>839</v>
      </c>
      <c r="O138" s="5" t="s">
        <v>840</v>
      </c>
      <c r="P138" s="5" t="s">
        <v>841</v>
      </c>
      <c r="Q138" s="5" t="s">
        <v>422</v>
      </c>
      <c r="R138" s="5" t="s">
        <v>843</v>
      </c>
      <c r="S138" s="7" t="s">
        <v>450</v>
      </c>
    </row>
    <row r="139" spans="1:19" ht="44" customHeight="1">
      <c r="A139" s="5" t="s">
        <v>14</v>
      </c>
      <c r="B139" s="5" t="s">
        <v>602</v>
      </c>
      <c r="C139" s="5" t="s">
        <v>48</v>
      </c>
      <c r="D139" s="6">
        <v>98000000</v>
      </c>
      <c r="E139" s="8">
        <v>45393.470833333333</v>
      </c>
      <c r="F139" s="16">
        <v>45405.458333333343</v>
      </c>
      <c r="G139" s="5" t="s">
        <v>27</v>
      </c>
      <c r="H139" s="5" t="s">
        <v>1758</v>
      </c>
      <c r="I139" s="14" t="s">
        <v>1040</v>
      </c>
      <c r="J139" s="5" t="s">
        <v>1041</v>
      </c>
      <c r="K139" s="5" t="s">
        <v>875</v>
      </c>
      <c r="L139" s="5" t="s">
        <v>113</v>
      </c>
      <c r="M139" s="5" t="s">
        <v>853</v>
      </c>
      <c r="N139" s="5" t="s">
        <v>839</v>
      </c>
      <c r="O139" s="5" t="s">
        <v>840</v>
      </c>
      <c r="P139" s="5" t="s">
        <v>841</v>
      </c>
      <c r="Q139" s="5" t="s">
        <v>441</v>
      </c>
      <c r="R139" s="5" t="s">
        <v>843</v>
      </c>
      <c r="S139" s="7" t="s">
        <v>603</v>
      </c>
    </row>
    <row r="140" spans="1:19" ht="44" customHeight="1">
      <c r="A140" s="5" t="s">
        <v>14</v>
      </c>
      <c r="B140" s="5" t="s">
        <v>527</v>
      </c>
      <c r="C140" s="5" t="s">
        <v>415</v>
      </c>
      <c r="D140" s="6">
        <v>520000000</v>
      </c>
      <c r="E140" s="8">
        <v>45393.584027777782</v>
      </c>
      <c r="F140" s="16">
        <v>45414.458333333343</v>
      </c>
      <c r="G140" s="5" t="s">
        <v>27</v>
      </c>
      <c r="H140" s="5" t="s">
        <v>74</v>
      </c>
      <c r="I140" s="5" t="s">
        <v>837</v>
      </c>
      <c r="J140" s="5" t="s">
        <v>838</v>
      </c>
      <c r="K140" s="5" t="s">
        <v>113</v>
      </c>
      <c r="L140" s="5" t="s">
        <v>113</v>
      </c>
      <c r="M140" s="5" t="s">
        <v>99</v>
      </c>
      <c r="N140" s="5" t="s">
        <v>839</v>
      </c>
      <c r="O140" s="5" t="s">
        <v>841</v>
      </c>
      <c r="P140" s="5" t="s">
        <v>841</v>
      </c>
      <c r="Q140" s="5" t="s">
        <v>441</v>
      </c>
      <c r="R140" s="5" t="s">
        <v>843</v>
      </c>
      <c r="S140" s="7" t="s">
        <v>528</v>
      </c>
    </row>
    <row r="141" spans="1:19" ht="44" customHeight="1">
      <c r="A141" s="5" t="s">
        <v>14</v>
      </c>
      <c r="B141" s="5" t="s">
        <v>1759</v>
      </c>
      <c r="C141" s="5" t="s">
        <v>1103</v>
      </c>
      <c r="D141" s="6">
        <v>50000000</v>
      </c>
      <c r="E141" s="8">
        <v>45397.458333333343</v>
      </c>
      <c r="F141" s="16">
        <v>45397.583333333343</v>
      </c>
      <c r="G141" s="5" t="s">
        <v>27</v>
      </c>
      <c r="H141" s="5" t="s">
        <v>113</v>
      </c>
      <c r="I141" s="5" t="s">
        <v>1037</v>
      </c>
      <c r="J141" s="5" t="s">
        <v>1038</v>
      </c>
      <c r="K141" s="5" t="s">
        <v>113</v>
      </c>
      <c r="L141" s="5" t="s">
        <v>113</v>
      </c>
      <c r="M141" s="5" t="s">
        <v>853</v>
      </c>
      <c r="N141" s="5" t="s">
        <v>839</v>
      </c>
      <c r="O141" s="5" t="s">
        <v>841</v>
      </c>
      <c r="P141" s="5" t="s">
        <v>841</v>
      </c>
      <c r="Q141" s="5" t="s">
        <v>441</v>
      </c>
      <c r="R141" s="5" t="s">
        <v>843</v>
      </c>
      <c r="S141" s="7" t="s">
        <v>1760</v>
      </c>
    </row>
    <row r="142" spans="1:19" ht="44" customHeight="1">
      <c r="A142" s="5" t="s">
        <v>14</v>
      </c>
      <c r="B142" s="5" t="s">
        <v>1759</v>
      </c>
      <c r="C142" s="5" t="s">
        <v>1103</v>
      </c>
      <c r="D142" s="6">
        <v>50000000</v>
      </c>
      <c r="E142" s="8">
        <v>45397.563194444447</v>
      </c>
      <c r="F142" s="16">
        <v>45405.583333333343</v>
      </c>
      <c r="G142" s="5" t="s">
        <v>27</v>
      </c>
      <c r="H142" s="5" t="s">
        <v>113</v>
      </c>
      <c r="I142" s="5" t="s">
        <v>1037</v>
      </c>
      <c r="J142" s="5" t="s">
        <v>1038</v>
      </c>
      <c r="K142" s="5" t="s">
        <v>113</v>
      </c>
      <c r="L142" s="5" t="s">
        <v>113</v>
      </c>
      <c r="M142" s="5" t="s">
        <v>853</v>
      </c>
      <c r="N142" s="5" t="s">
        <v>839</v>
      </c>
      <c r="O142" s="5" t="s">
        <v>841</v>
      </c>
      <c r="P142" s="5" t="s">
        <v>841</v>
      </c>
      <c r="Q142" s="5" t="s">
        <v>441</v>
      </c>
      <c r="R142" s="5" t="s">
        <v>843</v>
      </c>
      <c r="S142" s="7" t="s">
        <v>1761</v>
      </c>
    </row>
    <row r="143" spans="1:19" ht="44" customHeight="1">
      <c r="A143" s="5" t="s">
        <v>14</v>
      </c>
      <c r="B143" s="5" t="s">
        <v>630</v>
      </c>
      <c r="C143" s="5" t="s">
        <v>614</v>
      </c>
      <c r="D143" s="6">
        <v>159000000</v>
      </c>
      <c r="E143" s="8">
        <v>45399.548611111109</v>
      </c>
      <c r="F143" s="16">
        <v>45411.416666666657</v>
      </c>
      <c r="G143" s="5" t="s">
        <v>27</v>
      </c>
      <c r="H143" s="5" t="s">
        <v>74</v>
      </c>
      <c r="I143" s="14" t="s">
        <v>1040</v>
      </c>
      <c r="J143" s="5" t="s">
        <v>1041</v>
      </c>
      <c r="K143" s="5" t="s">
        <v>1762</v>
      </c>
      <c r="L143" s="5" t="s">
        <v>113</v>
      </c>
      <c r="M143" s="5" t="s">
        <v>853</v>
      </c>
      <c r="N143" s="5" t="s">
        <v>839</v>
      </c>
      <c r="O143" s="5" t="s">
        <v>840</v>
      </c>
      <c r="P143" s="5" t="s">
        <v>841</v>
      </c>
      <c r="Q143" s="5" t="s">
        <v>441</v>
      </c>
      <c r="R143" s="5" t="s">
        <v>1428</v>
      </c>
      <c r="S143" s="7" t="s">
        <v>631</v>
      </c>
    </row>
    <row r="144" spans="1:19" ht="44" customHeight="1">
      <c r="A144" s="5" t="s">
        <v>14</v>
      </c>
      <c r="B144" s="5" t="s">
        <v>446</v>
      </c>
      <c r="C144" s="5" t="s">
        <v>409</v>
      </c>
      <c r="D144" s="6">
        <v>239727000</v>
      </c>
      <c r="E144" s="8">
        <v>45400.32708333333</v>
      </c>
      <c r="F144" s="16">
        <v>45426.708333333343</v>
      </c>
      <c r="G144" s="5" t="s">
        <v>27</v>
      </c>
      <c r="H144" s="5" t="s">
        <v>64</v>
      </c>
      <c r="I144" s="5" t="s">
        <v>1037</v>
      </c>
      <c r="J144" s="5" t="s">
        <v>1038</v>
      </c>
      <c r="K144" s="5" t="s">
        <v>113</v>
      </c>
      <c r="L144" s="5" t="s">
        <v>113</v>
      </c>
      <c r="M144" s="5" t="s">
        <v>853</v>
      </c>
      <c r="N144" s="5" t="s">
        <v>839</v>
      </c>
      <c r="O144" s="5" t="s">
        <v>841</v>
      </c>
      <c r="P144" s="5" t="s">
        <v>841</v>
      </c>
      <c r="Q144" s="5" t="s">
        <v>441</v>
      </c>
      <c r="R144" s="5" t="s">
        <v>843</v>
      </c>
      <c r="S144" s="7" t="s">
        <v>447</v>
      </c>
    </row>
    <row r="145" spans="1:19" ht="44" customHeight="1">
      <c r="A145" s="5" t="s">
        <v>14</v>
      </c>
      <c r="B145" s="5" t="s">
        <v>512</v>
      </c>
      <c r="C145" s="5" t="s">
        <v>444</v>
      </c>
      <c r="D145" s="6">
        <v>220000000</v>
      </c>
      <c r="E145" s="8">
        <v>45404.410416666673</v>
      </c>
      <c r="F145" s="16">
        <v>45425.416666666657</v>
      </c>
      <c r="G145" s="5" t="s">
        <v>27</v>
      </c>
      <c r="H145" s="5" t="s">
        <v>113</v>
      </c>
      <c r="I145" s="5" t="s">
        <v>847</v>
      </c>
      <c r="J145" s="5" t="s">
        <v>848</v>
      </c>
      <c r="K145" s="5" t="s">
        <v>942</v>
      </c>
      <c r="L145" s="5" t="s">
        <v>1308</v>
      </c>
      <c r="M145" s="5" t="s">
        <v>853</v>
      </c>
      <c r="N145" s="5" t="s">
        <v>839</v>
      </c>
      <c r="O145" s="5" t="s">
        <v>840</v>
      </c>
      <c r="P145" s="5" t="s">
        <v>841</v>
      </c>
      <c r="Q145" s="5" t="s">
        <v>441</v>
      </c>
      <c r="R145" s="5" t="s">
        <v>843</v>
      </c>
      <c r="S145" s="7" t="s">
        <v>1763</v>
      </c>
    </row>
    <row r="146" spans="1:19" ht="44" customHeight="1">
      <c r="A146" s="5" t="s">
        <v>14</v>
      </c>
      <c r="B146" s="5" t="s">
        <v>1764</v>
      </c>
      <c r="C146" s="5" t="s">
        <v>1765</v>
      </c>
      <c r="D146" s="6">
        <v>79957000</v>
      </c>
      <c r="E146" s="8">
        <v>45414.686805555553</v>
      </c>
      <c r="F146" s="16">
        <v>45433.75</v>
      </c>
      <c r="G146" s="5" t="s">
        <v>27</v>
      </c>
      <c r="H146" s="5" t="s">
        <v>113</v>
      </c>
      <c r="I146" s="5" t="s">
        <v>1037</v>
      </c>
      <c r="J146" s="5" t="s">
        <v>1038</v>
      </c>
      <c r="K146" s="5" t="s">
        <v>113</v>
      </c>
      <c r="L146" s="5" t="s">
        <v>113</v>
      </c>
      <c r="M146" s="5" t="s">
        <v>853</v>
      </c>
      <c r="N146" s="5" t="s">
        <v>839</v>
      </c>
      <c r="O146" s="5" t="s">
        <v>840</v>
      </c>
      <c r="P146" s="5" t="s">
        <v>841</v>
      </c>
      <c r="Q146" s="5" t="s">
        <v>441</v>
      </c>
      <c r="R146" s="5" t="s">
        <v>843</v>
      </c>
      <c r="S146" s="7" t="s">
        <v>1766</v>
      </c>
    </row>
    <row r="147" spans="1:19" ht="44" customHeight="1">
      <c r="A147" s="5" t="s">
        <v>14</v>
      </c>
      <c r="B147" s="5" t="s">
        <v>1767</v>
      </c>
      <c r="C147" s="5" t="s">
        <v>1122</v>
      </c>
      <c r="D147" s="6">
        <v>119976000</v>
      </c>
      <c r="E147" s="8">
        <v>45419.555555555547</v>
      </c>
      <c r="F147" s="16">
        <v>45432.458333333343</v>
      </c>
      <c r="G147" s="5" t="s">
        <v>27</v>
      </c>
      <c r="H147" s="5" t="s">
        <v>113</v>
      </c>
      <c r="I147" s="5" t="s">
        <v>1037</v>
      </c>
      <c r="J147" s="5" t="s">
        <v>1038</v>
      </c>
      <c r="K147" s="5" t="s">
        <v>113</v>
      </c>
      <c r="L147" s="5" t="s">
        <v>113</v>
      </c>
      <c r="M147" s="5" t="s">
        <v>853</v>
      </c>
      <c r="N147" s="5" t="s">
        <v>839</v>
      </c>
      <c r="O147" s="5" t="s">
        <v>841</v>
      </c>
      <c r="P147" s="5" t="s">
        <v>841</v>
      </c>
      <c r="Q147" s="5" t="s">
        <v>441</v>
      </c>
      <c r="R147" s="5" t="s">
        <v>843</v>
      </c>
      <c r="S147" s="7" t="s">
        <v>1768</v>
      </c>
    </row>
    <row r="148" spans="1:19" ht="44" customHeight="1">
      <c r="A148" s="5" t="s">
        <v>14</v>
      </c>
      <c r="B148" s="5" t="s">
        <v>525</v>
      </c>
      <c r="C148" s="5" t="s">
        <v>499</v>
      </c>
      <c r="D148" s="6">
        <v>190279490</v>
      </c>
      <c r="E148" s="8">
        <v>45420.729861111111</v>
      </c>
      <c r="F148" s="16">
        <v>45433.5</v>
      </c>
      <c r="G148" s="5" t="s">
        <v>27</v>
      </c>
      <c r="H148" s="5" t="s">
        <v>1769</v>
      </c>
      <c r="I148" s="14" t="s">
        <v>1040</v>
      </c>
      <c r="J148" s="5" t="s">
        <v>1041</v>
      </c>
      <c r="K148" s="5" t="s">
        <v>875</v>
      </c>
      <c r="L148" s="5" t="s">
        <v>113</v>
      </c>
      <c r="M148" s="5" t="s">
        <v>853</v>
      </c>
      <c r="N148" s="5" t="s">
        <v>839</v>
      </c>
      <c r="O148" s="5" t="s">
        <v>840</v>
      </c>
      <c r="P148" s="5" t="s">
        <v>841</v>
      </c>
      <c r="Q148" s="5" t="s">
        <v>422</v>
      </c>
      <c r="R148" s="5" t="s">
        <v>843</v>
      </c>
      <c r="S148" s="7" t="s">
        <v>526</v>
      </c>
    </row>
    <row r="149" spans="1:19" ht="44" customHeight="1">
      <c r="A149" s="5" t="s">
        <v>14</v>
      </c>
      <c r="B149" s="5" t="s">
        <v>1770</v>
      </c>
      <c r="C149" s="5" t="s">
        <v>1771</v>
      </c>
      <c r="D149" s="6">
        <v>49500000</v>
      </c>
      <c r="E149" s="8">
        <v>45422.647222222222</v>
      </c>
      <c r="F149" s="16">
        <v>45433.416666666657</v>
      </c>
      <c r="G149" s="5" t="s">
        <v>27</v>
      </c>
      <c r="H149" s="5" t="s">
        <v>113</v>
      </c>
      <c r="I149" s="5" t="s">
        <v>1037</v>
      </c>
      <c r="J149" s="5" t="s">
        <v>1038</v>
      </c>
      <c r="K149" s="5" t="s">
        <v>113</v>
      </c>
      <c r="L149" s="5" t="s">
        <v>113</v>
      </c>
      <c r="M149" s="5" t="s">
        <v>853</v>
      </c>
      <c r="N149" s="5" t="s">
        <v>839</v>
      </c>
      <c r="O149" s="5" t="s">
        <v>113</v>
      </c>
      <c r="P149" s="5" t="s">
        <v>841</v>
      </c>
      <c r="Q149" s="5" t="s">
        <v>1193</v>
      </c>
      <c r="R149" s="5" t="s">
        <v>843</v>
      </c>
      <c r="S149" s="7" t="s">
        <v>1772</v>
      </c>
    </row>
    <row r="150" spans="1:19" ht="44" customHeight="1">
      <c r="A150" s="5" t="s">
        <v>14</v>
      </c>
      <c r="B150" s="5" t="s">
        <v>512</v>
      </c>
      <c r="C150" s="5" t="s">
        <v>444</v>
      </c>
      <c r="D150" s="6">
        <v>220000000</v>
      </c>
      <c r="E150" s="8">
        <v>45425.67291666667</v>
      </c>
      <c r="F150" s="16">
        <v>45436.416666666657</v>
      </c>
      <c r="G150" s="5" t="s">
        <v>27</v>
      </c>
      <c r="H150" s="5" t="s">
        <v>113</v>
      </c>
      <c r="I150" s="5" t="s">
        <v>847</v>
      </c>
      <c r="J150" s="5" t="s">
        <v>848</v>
      </c>
      <c r="K150" s="5" t="s">
        <v>942</v>
      </c>
      <c r="L150" s="5" t="s">
        <v>1308</v>
      </c>
      <c r="M150" s="5" t="s">
        <v>853</v>
      </c>
      <c r="N150" s="5" t="s">
        <v>839</v>
      </c>
      <c r="O150" s="5" t="s">
        <v>840</v>
      </c>
      <c r="P150" s="5" t="s">
        <v>841</v>
      </c>
      <c r="Q150" s="5" t="s">
        <v>441</v>
      </c>
      <c r="R150" s="5" t="s">
        <v>843</v>
      </c>
      <c r="S150" s="7" t="s">
        <v>1773</v>
      </c>
    </row>
    <row r="151" spans="1:19" ht="44" customHeight="1">
      <c r="A151" s="5" t="s">
        <v>14</v>
      </c>
      <c r="B151" s="5" t="s">
        <v>1774</v>
      </c>
      <c r="C151" s="5" t="s">
        <v>1230</v>
      </c>
      <c r="D151" s="6">
        <v>98959000</v>
      </c>
      <c r="E151" s="8">
        <v>45432.474999999999</v>
      </c>
      <c r="F151" s="16">
        <v>45443.458333333343</v>
      </c>
      <c r="G151" s="5" t="s">
        <v>27</v>
      </c>
      <c r="H151" s="5" t="s">
        <v>113</v>
      </c>
      <c r="I151" s="5" t="s">
        <v>1037</v>
      </c>
      <c r="J151" s="5" t="s">
        <v>1038</v>
      </c>
      <c r="K151" s="5" t="s">
        <v>113</v>
      </c>
      <c r="L151" s="5" t="s">
        <v>113</v>
      </c>
      <c r="M151" s="5" t="s">
        <v>853</v>
      </c>
      <c r="N151" s="5" t="s">
        <v>839</v>
      </c>
      <c r="O151" s="5" t="s">
        <v>841</v>
      </c>
      <c r="P151" s="5" t="s">
        <v>841</v>
      </c>
      <c r="Q151" s="5" t="s">
        <v>441</v>
      </c>
      <c r="R151" s="5" t="s">
        <v>843</v>
      </c>
      <c r="S151" s="7" t="s">
        <v>1775</v>
      </c>
    </row>
    <row r="152" spans="1:19" ht="44" customHeight="1">
      <c r="A152" s="5" t="s">
        <v>14</v>
      </c>
      <c r="B152" s="5" t="s">
        <v>1774</v>
      </c>
      <c r="C152" s="5" t="s">
        <v>1230</v>
      </c>
      <c r="D152" s="6">
        <v>98959000</v>
      </c>
      <c r="E152" s="8">
        <v>45432.645833333343</v>
      </c>
      <c r="F152" s="16">
        <v>45443.458333333343</v>
      </c>
      <c r="G152" s="5" t="s">
        <v>27</v>
      </c>
      <c r="H152" s="5" t="s">
        <v>113</v>
      </c>
      <c r="I152" s="5" t="s">
        <v>1037</v>
      </c>
      <c r="J152" s="5" t="s">
        <v>1038</v>
      </c>
      <c r="K152" s="5" t="s">
        <v>113</v>
      </c>
      <c r="L152" s="5" t="s">
        <v>113</v>
      </c>
      <c r="M152" s="5" t="s">
        <v>853</v>
      </c>
      <c r="N152" s="5" t="s">
        <v>839</v>
      </c>
      <c r="O152" s="5" t="s">
        <v>841</v>
      </c>
      <c r="P152" s="5" t="s">
        <v>841</v>
      </c>
      <c r="Q152" s="5" t="s">
        <v>441</v>
      </c>
      <c r="R152" s="5" t="s">
        <v>843</v>
      </c>
      <c r="S152" s="7" t="s">
        <v>1776</v>
      </c>
    </row>
    <row r="153" spans="1:19" ht="44" customHeight="1">
      <c r="A153" s="5" t="s">
        <v>14</v>
      </c>
      <c r="B153" s="5" t="s">
        <v>443</v>
      </c>
      <c r="C153" s="5" t="s">
        <v>444</v>
      </c>
      <c r="D153" s="6">
        <v>205000000</v>
      </c>
      <c r="E153" s="8">
        <v>45435.459722222222</v>
      </c>
      <c r="F153" s="16">
        <v>45456.416666666657</v>
      </c>
      <c r="G153" s="5" t="s">
        <v>27</v>
      </c>
      <c r="H153" s="5" t="s">
        <v>64</v>
      </c>
      <c r="I153" s="5" t="s">
        <v>847</v>
      </c>
      <c r="J153" s="5" t="s">
        <v>848</v>
      </c>
      <c r="K153" s="5" t="s">
        <v>942</v>
      </c>
      <c r="L153" s="5" t="s">
        <v>872</v>
      </c>
      <c r="M153" s="5" t="s">
        <v>853</v>
      </c>
      <c r="N153" s="5" t="s">
        <v>839</v>
      </c>
      <c r="O153" s="5" t="s">
        <v>840</v>
      </c>
      <c r="P153" s="5" t="s">
        <v>841</v>
      </c>
      <c r="Q153" s="5" t="s">
        <v>441</v>
      </c>
      <c r="R153" s="5" t="s">
        <v>843</v>
      </c>
      <c r="S153" s="7" t="s">
        <v>445</v>
      </c>
    </row>
    <row r="154" spans="1:19" ht="44" customHeight="1">
      <c r="A154" s="5" t="s">
        <v>14</v>
      </c>
      <c r="B154" s="5" t="s">
        <v>440</v>
      </c>
      <c r="C154" s="5" t="s">
        <v>399</v>
      </c>
      <c r="D154" s="6">
        <v>121000000</v>
      </c>
      <c r="E154" s="8">
        <v>45436.42083333333</v>
      </c>
      <c r="F154" s="16">
        <v>45447.416666666657</v>
      </c>
      <c r="G154" s="5" t="s">
        <v>27</v>
      </c>
      <c r="H154" s="5" t="s">
        <v>64</v>
      </c>
      <c r="I154" s="5" t="s">
        <v>1037</v>
      </c>
      <c r="J154" s="5" t="s">
        <v>1038</v>
      </c>
      <c r="K154" s="5" t="s">
        <v>113</v>
      </c>
      <c r="L154" s="5" t="s">
        <v>113</v>
      </c>
      <c r="M154" s="5" t="s">
        <v>853</v>
      </c>
      <c r="N154" s="5" t="s">
        <v>839</v>
      </c>
      <c r="O154" s="5" t="s">
        <v>840</v>
      </c>
      <c r="P154" s="5" t="s">
        <v>841</v>
      </c>
      <c r="Q154" s="5" t="s">
        <v>441</v>
      </c>
      <c r="R154" s="5" t="s">
        <v>843</v>
      </c>
      <c r="S154" s="7" t="s">
        <v>442</v>
      </c>
    </row>
    <row r="155" spans="1:19" ht="44" customHeight="1">
      <c r="A155" s="5" t="s">
        <v>14</v>
      </c>
      <c r="B155" s="5" t="s">
        <v>512</v>
      </c>
      <c r="C155" s="5" t="s">
        <v>444</v>
      </c>
      <c r="D155" s="6">
        <v>220000000</v>
      </c>
      <c r="E155" s="8">
        <v>45436.763888888891</v>
      </c>
      <c r="F155" s="16">
        <v>45447.416666666657</v>
      </c>
      <c r="G155" s="5" t="s">
        <v>27</v>
      </c>
      <c r="H155" s="5" t="s">
        <v>113</v>
      </c>
      <c r="I155" s="5" t="s">
        <v>1037</v>
      </c>
      <c r="J155" s="5" t="s">
        <v>1038</v>
      </c>
      <c r="K155" s="5" t="s">
        <v>113</v>
      </c>
      <c r="L155" s="5" t="s">
        <v>113</v>
      </c>
      <c r="M155" s="5" t="s">
        <v>113</v>
      </c>
      <c r="N155" s="5" t="s">
        <v>839</v>
      </c>
      <c r="O155" s="5" t="s">
        <v>113</v>
      </c>
      <c r="P155" s="5" t="s">
        <v>841</v>
      </c>
      <c r="Q155" s="5" t="s">
        <v>441</v>
      </c>
      <c r="R155" s="5" t="s">
        <v>874</v>
      </c>
      <c r="S155" s="7" t="s">
        <v>1777</v>
      </c>
    </row>
    <row r="156" spans="1:19" ht="44" customHeight="1">
      <c r="A156" s="5" t="s">
        <v>14</v>
      </c>
      <c r="B156" s="5" t="s">
        <v>1778</v>
      </c>
      <c r="C156" s="5" t="s">
        <v>409</v>
      </c>
      <c r="D156" s="6">
        <v>57872000</v>
      </c>
      <c r="E156" s="8">
        <v>45439.331944444442</v>
      </c>
      <c r="F156" s="16">
        <v>45455.708333333343</v>
      </c>
      <c r="G156" s="5" t="s">
        <v>27</v>
      </c>
      <c r="H156" s="5" t="s">
        <v>1570</v>
      </c>
      <c r="I156" s="5" t="s">
        <v>1037</v>
      </c>
      <c r="J156" s="5" t="s">
        <v>1038</v>
      </c>
      <c r="K156" s="5" t="s">
        <v>113</v>
      </c>
      <c r="L156" s="5" t="s">
        <v>113</v>
      </c>
      <c r="M156" s="5" t="s">
        <v>853</v>
      </c>
      <c r="N156" s="5" t="s">
        <v>839</v>
      </c>
      <c r="O156" s="5" t="s">
        <v>840</v>
      </c>
      <c r="P156" s="5" t="s">
        <v>841</v>
      </c>
      <c r="Q156" s="5" t="s">
        <v>441</v>
      </c>
      <c r="R156" s="5" t="s">
        <v>843</v>
      </c>
      <c r="S156" s="7" t="s">
        <v>1779</v>
      </c>
    </row>
    <row r="157" spans="1:19" ht="44" customHeight="1">
      <c r="A157" s="5" t="s">
        <v>14</v>
      </c>
      <c r="B157" s="5" t="s">
        <v>756</v>
      </c>
      <c r="C157" s="5" t="s">
        <v>757</v>
      </c>
      <c r="D157" s="6">
        <v>69871000</v>
      </c>
      <c r="E157" s="8">
        <v>45439.76666666667</v>
      </c>
      <c r="F157" s="16">
        <v>45454.416666666657</v>
      </c>
      <c r="G157" s="5" t="s">
        <v>27</v>
      </c>
      <c r="H157" s="5" t="s">
        <v>747</v>
      </c>
      <c r="I157" s="5" t="s">
        <v>847</v>
      </c>
      <c r="J157" s="5" t="s">
        <v>848</v>
      </c>
      <c r="K157" s="5" t="s">
        <v>868</v>
      </c>
      <c r="L157" s="5" t="s">
        <v>113</v>
      </c>
      <c r="M157" s="5" t="s">
        <v>853</v>
      </c>
      <c r="N157" s="5" t="s">
        <v>893</v>
      </c>
      <c r="O157" s="5" t="s">
        <v>840</v>
      </c>
      <c r="P157" s="5" t="s">
        <v>841</v>
      </c>
      <c r="Q157" s="5" t="s">
        <v>441</v>
      </c>
      <c r="R157" s="5" t="s">
        <v>843</v>
      </c>
      <c r="S157" s="7" t="s">
        <v>758</v>
      </c>
    </row>
    <row r="158" spans="1:19" ht="44" customHeight="1">
      <c r="A158" s="5" t="s">
        <v>14</v>
      </c>
      <c r="B158" s="5" t="s">
        <v>1780</v>
      </c>
      <c r="C158" s="5" t="s">
        <v>444</v>
      </c>
      <c r="D158" s="6">
        <v>199500000</v>
      </c>
      <c r="E158" s="8">
        <v>45441.438194444447</v>
      </c>
      <c r="F158" s="16">
        <v>45462.416666666657</v>
      </c>
      <c r="G158" s="5" t="s">
        <v>27</v>
      </c>
      <c r="H158" s="5" t="s">
        <v>1781</v>
      </c>
      <c r="I158" s="14" t="s">
        <v>1040</v>
      </c>
      <c r="J158" s="5" t="s">
        <v>1041</v>
      </c>
      <c r="K158" s="5" t="s">
        <v>875</v>
      </c>
      <c r="L158" s="5" t="s">
        <v>113</v>
      </c>
      <c r="M158" s="5" t="s">
        <v>853</v>
      </c>
      <c r="N158" s="5" t="s">
        <v>839</v>
      </c>
      <c r="O158" s="5" t="s">
        <v>840</v>
      </c>
      <c r="P158" s="5" t="s">
        <v>1782</v>
      </c>
      <c r="Q158" s="5" t="s">
        <v>441</v>
      </c>
      <c r="R158" s="5" t="s">
        <v>843</v>
      </c>
      <c r="S158" s="7" t="s">
        <v>1783</v>
      </c>
    </row>
    <row r="159" spans="1:19" ht="44" customHeight="1">
      <c r="A159" s="5" t="s">
        <v>14</v>
      </c>
      <c r="B159" s="5" t="s">
        <v>1774</v>
      </c>
      <c r="C159" s="5" t="s">
        <v>1230</v>
      </c>
      <c r="D159" s="6">
        <v>98959000</v>
      </c>
      <c r="E159" s="8">
        <v>45446.730555555558</v>
      </c>
      <c r="F159" s="16">
        <v>45457.458333333343</v>
      </c>
      <c r="G159" s="5" t="s">
        <v>27</v>
      </c>
      <c r="H159" s="5" t="s">
        <v>113</v>
      </c>
      <c r="I159" s="5" t="s">
        <v>1037</v>
      </c>
      <c r="J159" s="5" t="s">
        <v>1038</v>
      </c>
      <c r="K159" s="5" t="s">
        <v>113</v>
      </c>
      <c r="L159" s="5" t="s">
        <v>113</v>
      </c>
      <c r="M159" s="5" t="s">
        <v>853</v>
      </c>
      <c r="N159" s="5" t="s">
        <v>839</v>
      </c>
      <c r="O159" s="5" t="s">
        <v>841</v>
      </c>
      <c r="P159" s="5" t="s">
        <v>841</v>
      </c>
      <c r="Q159" s="5" t="s">
        <v>441</v>
      </c>
      <c r="R159" s="5" t="s">
        <v>843</v>
      </c>
      <c r="S159" s="7" t="s">
        <v>1784</v>
      </c>
    </row>
    <row r="160" spans="1:19" ht="44" customHeight="1">
      <c r="A160" s="5" t="s">
        <v>14</v>
      </c>
      <c r="B160" s="5" t="s">
        <v>1785</v>
      </c>
      <c r="C160" s="5" t="s">
        <v>1230</v>
      </c>
      <c r="D160" s="6">
        <v>119643000</v>
      </c>
      <c r="E160" s="8">
        <v>45447.40347222222</v>
      </c>
      <c r="F160" s="16">
        <v>45467.458333333343</v>
      </c>
      <c r="G160" s="5" t="s">
        <v>27</v>
      </c>
      <c r="H160" s="5" t="s">
        <v>113</v>
      </c>
      <c r="I160" s="5" t="s">
        <v>1037</v>
      </c>
      <c r="J160" s="5" t="s">
        <v>1038</v>
      </c>
      <c r="K160" s="5" t="s">
        <v>113</v>
      </c>
      <c r="L160" s="5" t="s">
        <v>113</v>
      </c>
      <c r="M160" s="5" t="s">
        <v>853</v>
      </c>
      <c r="N160" s="5" t="s">
        <v>839</v>
      </c>
      <c r="O160" s="5" t="s">
        <v>840</v>
      </c>
      <c r="P160" s="5" t="s">
        <v>841</v>
      </c>
      <c r="Q160" s="5" t="s">
        <v>441</v>
      </c>
      <c r="R160" s="5" t="s">
        <v>843</v>
      </c>
      <c r="S160" s="7" t="s">
        <v>1786</v>
      </c>
    </row>
    <row r="161" spans="1:19" ht="44" customHeight="1">
      <c r="A161" s="5" t="s">
        <v>14</v>
      </c>
      <c r="B161" s="5" t="s">
        <v>1787</v>
      </c>
      <c r="C161" s="5" t="s">
        <v>504</v>
      </c>
      <c r="D161" s="6">
        <v>360000000</v>
      </c>
      <c r="E161" s="8">
        <v>45448.736805555563</v>
      </c>
      <c r="F161" s="16">
        <v>45470.416666666657</v>
      </c>
      <c r="G161" s="5" t="s">
        <v>27</v>
      </c>
      <c r="H161" s="5" t="s">
        <v>1788</v>
      </c>
      <c r="I161" s="5" t="s">
        <v>847</v>
      </c>
      <c r="J161" s="5" t="s">
        <v>848</v>
      </c>
      <c r="K161" s="5" t="s">
        <v>868</v>
      </c>
      <c r="L161" s="5" t="s">
        <v>113</v>
      </c>
      <c r="M161" s="5" t="s">
        <v>853</v>
      </c>
      <c r="N161" s="5" t="s">
        <v>839</v>
      </c>
      <c r="O161" s="5" t="s">
        <v>841</v>
      </c>
      <c r="P161" s="5" t="s">
        <v>841</v>
      </c>
      <c r="Q161" s="5" t="s">
        <v>441</v>
      </c>
      <c r="R161" s="5" t="s">
        <v>843</v>
      </c>
      <c r="S161" s="7" t="s">
        <v>1789</v>
      </c>
    </row>
    <row r="162" spans="1:19" ht="44" customHeight="1">
      <c r="A162" s="5" t="s">
        <v>14</v>
      </c>
      <c r="B162" s="5" t="s">
        <v>734</v>
      </c>
      <c r="C162" s="5" t="s">
        <v>637</v>
      </c>
      <c r="D162" s="6">
        <v>52000000</v>
      </c>
      <c r="E162" s="8">
        <v>45457.582638888889</v>
      </c>
      <c r="F162" s="16">
        <v>45468.625</v>
      </c>
      <c r="G162" s="5" t="s">
        <v>27</v>
      </c>
      <c r="H162" s="5" t="s">
        <v>730</v>
      </c>
      <c r="I162" s="14" t="s">
        <v>1040</v>
      </c>
      <c r="J162" s="5" t="s">
        <v>1041</v>
      </c>
      <c r="K162" s="5" t="s">
        <v>875</v>
      </c>
      <c r="L162" s="5" t="s">
        <v>872</v>
      </c>
      <c r="M162" s="5" t="s">
        <v>853</v>
      </c>
      <c r="N162" s="5" t="s">
        <v>839</v>
      </c>
      <c r="O162" s="5" t="s">
        <v>840</v>
      </c>
      <c r="P162" s="5" t="s">
        <v>873</v>
      </c>
      <c r="Q162" s="5" t="s">
        <v>441</v>
      </c>
      <c r="R162" s="5" t="s">
        <v>843</v>
      </c>
      <c r="S162" s="7" t="s">
        <v>735</v>
      </c>
    </row>
    <row r="163" spans="1:19" ht="44" customHeight="1">
      <c r="A163" s="5" t="s">
        <v>14</v>
      </c>
      <c r="B163" s="5" t="s">
        <v>1790</v>
      </c>
      <c r="C163" s="5" t="s">
        <v>568</v>
      </c>
      <c r="D163" s="6">
        <v>96000000</v>
      </c>
      <c r="E163" s="8">
        <v>45460.731249999997</v>
      </c>
      <c r="F163" s="16">
        <v>45471.583333333343</v>
      </c>
      <c r="G163" s="5" t="s">
        <v>27</v>
      </c>
      <c r="H163" s="5" t="s">
        <v>113</v>
      </c>
      <c r="I163" s="14" t="s">
        <v>1040</v>
      </c>
      <c r="J163" s="5" t="s">
        <v>1041</v>
      </c>
      <c r="K163" s="5" t="s">
        <v>875</v>
      </c>
      <c r="L163" s="5" t="s">
        <v>113</v>
      </c>
      <c r="M163" s="5" t="s">
        <v>853</v>
      </c>
      <c r="N163" s="5" t="s">
        <v>839</v>
      </c>
      <c r="O163" s="5" t="s">
        <v>840</v>
      </c>
      <c r="P163" s="5" t="s">
        <v>873</v>
      </c>
      <c r="Q163" s="5" t="s">
        <v>441</v>
      </c>
      <c r="R163" s="5" t="s">
        <v>843</v>
      </c>
      <c r="S163" s="7" t="s">
        <v>1791</v>
      </c>
    </row>
    <row r="164" spans="1:19" ht="44" customHeight="1">
      <c r="A164" s="5" t="s">
        <v>14</v>
      </c>
      <c r="B164" s="5" t="s">
        <v>1792</v>
      </c>
      <c r="C164" s="5" t="s">
        <v>48</v>
      </c>
      <c r="D164" s="6">
        <v>200000000</v>
      </c>
      <c r="E164" s="8">
        <v>45467.600694444453</v>
      </c>
      <c r="F164" s="16">
        <v>45489.458333333343</v>
      </c>
      <c r="G164" s="5" t="s">
        <v>27</v>
      </c>
      <c r="H164" s="5" t="s">
        <v>1793</v>
      </c>
      <c r="I164" s="5" t="s">
        <v>1037</v>
      </c>
      <c r="J164" s="5" t="s">
        <v>1038</v>
      </c>
      <c r="K164" s="5" t="s">
        <v>113</v>
      </c>
      <c r="L164" s="5" t="s">
        <v>113</v>
      </c>
      <c r="M164" s="5" t="s">
        <v>853</v>
      </c>
      <c r="N164" s="5" t="s">
        <v>839</v>
      </c>
      <c r="O164" s="5" t="s">
        <v>840</v>
      </c>
      <c r="P164" s="5" t="s">
        <v>841</v>
      </c>
      <c r="Q164" s="5" t="s">
        <v>441</v>
      </c>
      <c r="R164" s="5" t="s">
        <v>843</v>
      </c>
      <c r="S164" s="7" t="s">
        <v>1794</v>
      </c>
    </row>
    <row r="165" spans="1:19" ht="44" customHeight="1">
      <c r="A165" s="5" t="s">
        <v>14</v>
      </c>
      <c r="B165" s="5" t="s">
        <v>1790</v>
      </c>
      <c r="C165" s="5" t="s">
        <v>568</v>
      </c>
      <c r="D165" s="6">
        <v>96000000</v>
      </c>
      <c r="E165" s="8">
        <v>45471.705555555563</v>
      </c>
      <c r="F165" s="16">
        <v>45482.583333333343</v>
      </c>
      <c r="G165" s="5" t="s">
        <v>27</v>
      </c>
      <c r="H165" s="5" t="s">
        <v>113</v>
      </c>
      <c r="I165" s="14" t="s">
        <v>1040</v>
      </c>
      <c r="J165" s="5" t="s">
        <v>1041</v>
      </c>
      <c r="K165" s="5" t="s">
        <v>875</v>
      </c>
      <c r="L165" s="5" t="s">
        <v>113</v>
      </c>
      <c r="M165" s="5" t="s">
        <v>853</v>
      </c>
      <c r="N165" s="5" t="s">
        <v>839</v>
      </c>
      <c r="O165" s="5" t="s">
        <v>840</v>
      </c>
      <c r="P165" s="5" t="s">
        <v>873</v>
      </c>
      <c r="Q165" s="5" t="s">
        <v>441</v>
      </c>
      <c r="R165" s="5" t="s">
        <v>843</v>
      </c>
      <c r="S165" s="7" t="s">
        <v>1795</v>
      </c>
    </row>
    <row r="166" spans="1:19" ht="44" customHeight="1">
      <c r="A166" s="5" t="s">
        <v>14</v>
      </c>
      <c r="B166" s="5" t="s">
        <v>1796</v>
      </c>
      <c r="C166" s="5" t="s">
        <v>1159</v>
      </c>
      <c r="D166" s="6">
        <v>50000000</v>
      </c>
      <c r="E166" s="8">
        <v>45474.393055555563</v>
      </c>
      <c r="F166" s="16">
        <v>45485.5</v>
      </c>
      <c r="G166" s="5" t="s">
        <v>27</v>
      </c>
      <c r="H166" s="5" t="s">
        <v>113</v>
      </c>
      <c r="I166" s="5" t="s">
        <v>847</v>
      </c>
      <c r="J166" s="5" t="s">
        <v>848</v>
      </c>
      <c r="K166" s="5" t="s">
        <v>113</v>
      </c>
      <c r="L166" s="5" t="s">
        <v>872</v>
      </c>
      <c r="M166" s="5" t="s">
        <v>99</v>
      </c>
      <c r="N166" s="5" t="s">
        <v>839</v>
      </c>
      <c r="O166" s="5" t="s">
        <v>840</v>
      </c>
      <c r="P166" s="5" t="s">
        <v>841</v>
      </c>
      <c r="Q166" s="5" t="s">
        <v>441</v>
      </c>
      <c r="R166" s="5" t="s">
        <v>843</v>
      </c>
      <c r="S166" s="7" t="s">
        <v>1797</v>
      </c>
    </row>
    <row r="167" spans="1:19" ht="44" customHeight="1">
      <c r="A167" s="5" t="s">
        <v>14</v>
      </c>
      <c r="B167" s="5" t="s">
        <v>818</v>
      </c>
      <c r="C167" s="5" t="s">
        <v>819</v>
      </c>
      <c r="D167" s="6">
        <v>79755000</v>
      </c>
      <c r="E167" s="8">
        <v>45477.65347222222</v>
      </c>
      <c r="F167" s="16">
        <v>45489.666666666657</v>
      </c>
      <c r="G167" s="5" t="s">
        <v>27</v>
      </c>
      <c r="H167" s="5" t="s">
        <v>816</v>
      </c>
      <c r="I167" s="14" t="s">
        <v>1040</v>
      </c>
      <c r="J167" s="5" t="s">
        <v>1041</v>
      </c>
      <c r="K167" s="5" t="s">
        <v>875</v>
      </c>
      <c r="L167" s="5" t="s">
        <v>113</v>
      </c>
      <c r="M167" s="5" t="s">
        <v>853</v>
      </c>
      <c r="N167" s="5" t="s">
        <v>839</v>
      </c>
      <c r="O167" s="5" t="s">
        <v>840</v>
      </c>
      <c r="P167" s="5" t="s">
        <v>841</v>
      </c>
      <c r="Q167" s="5" t="s">
        <v>441</v>
      </c>
      <c r="R167" s="5" t="s">
        <v>843</v>
      </c>
      <c r="S167" s="7" t="s">
        <v>820</v>
      </c>
    </row>
    <row r="168" spans="1:19" ht="44" customHeight="1">
      <c r="A168" s="5" t="s">
        <v>14</v>
      </c>
      <c r="B168" s="5" t="s">
        <v>1798</v>
      </c>
      <c r="C168" s="5" t="s">
        <v>1365</v>
      </c>
      <c r="D168" s="6">
        <v>220000000</v>
      </c>
      <c r="E168" s="8">
        <v>45481.5625</v>
      </c>
      <c r="F168" s="16">
        <v>45497.708333333343</v>
      </c>
      <c r="G168" s="5" t="s">
        <v>27</v>
      </c>
      <c r="H168" s="5" t="s">
        <v>113</v>
      </c>
      <c r="I168" s="5" t="s">
        <v>1037</v>
      </c>
      <c r="J168" s="5" t="s">
        <v>1038</v>
      </c>
      <c r="K168" s="5" t="s">
        <v>113</v>
      </c>
      <c r="L168" s="5" t="s">
        <v>113</v>
      </c>
      <c r="M168" s="5" t="s">
        <v>853</v>
      </c>
      <c r="N168" s="5" t="s">
        <v>839</v>
      </c>
      <c r="O168" s="5" t="s">
        <v>841</v>
      </c>
      <c r="P168" s="5" t="s">
        <v>841</v>
      </c>
      <c r="Q168" s="5" t="s">
        <v>441</v>
      </c>
      <c r="R168" s="5" t="s">
        <v>843</v>
      </c>
      <c r="S168" s="7" t="s">
        <v>1799</v>
      </c>
    </row>
    <row r="169" spans="1:19" ht="44" customHeight="1">
      <c r="A169" s="5" t="s">
        <v>14</v>
      </c>
      <c r="B169" s="5" t="s">
        <v>1800</v>
      </c>
      <c r="C169" s="5" t="s">
        <v>1071</v>
      </c>
      <c r="D169" s="6">
        <v>70000000</v>
      </c>
      <c r="E169" s="8">
        <v>45482.599305555559</v>
      </c>
      <c r="F169" s="16">
        <v>45495.666666666657</v>
      </c>
      <c r="G169" s="5" t="s">
        <v>27</v>
      </c>
      <c r="H169" s="5" t="s">
        <v>1072</v>
      </c>
      <c r="I169" s="14" t="s">
        <v>1040</v>
      </c>
      <c r="J169" s="5" t="s">
        <v>1041</v>
      </c>
      <c r="K169" s="5" t="s">
        <v>1073</v>
      </c>
      <c r="L169" s="5" t="s">
        <v>113</v>
      </c>
      <c r="M169" s="5" t="s">
        <v>853</v>
      </c>
      <c r="N169" s="5" t="s">
        <v>839</v>
      </c>
      <c r="O169" s="5" t="s">
        <v>840</v>
      </c>
      <c r="P169" s="5" t="s">
        <v>841</v>
      </c>
      <c r="Q169" s="5" t="s">
        <v>441</v>
      </c>
      <c r="R169" s="5" t="s">
        <v>843</v>
      </c>
      <c r="S169" s="7" t="s">
        <v>1801</v>
      </c>
    </row>
    <row r="170" spans="1:19" ht="44" customHeight="1">
      <c r="A170" s="5" t="s">
        <v>14</v>
      </c>
      <c r="B170" s="5" t="s">
        <v>1802</v>
      </c>
      <c r="C170" s="5" t="s">
        <v>1479</v>
      </c>
      <c r="D170" s="6">
        <v>54860000</v>
      </c>
      <c r="E170" s="8">
        <v>45488.580555555563</v>
      </c>
      <c r="F170" s="16">
        <v>45499.5</v>
      </c>
      <c r="G170" s="5" t="s">
        <v>27</v>
      </c>
      <c r="H170" s="5" t="s">
        <v>113</v>
      </c>
      <c r="I170" s="5" t="s">
        <v>1037</v>
      </c>
      <c r="J170" s="5" t="s">
        <v>1038</v>
      </c>
      <c r="K170" s="5" t="s">
        <v>113</v>
      </c>
      <c r="L170" s="5" t="s">
        <v>113</v>
      </c>
      <c r="M170" s="5" t="s">
        <v>853</v>
      </c>
      <c r="N170" s="5" t="s">
        <v>839</v>
      </c>
      <c r="O170" s="5" t="s">
        <v>840</v>
      </c>
      <c r="P170" s="5" t="s">
        <v>841</v>
      </c>
      <c r="Q170" s="5" t="s">
        <v>441</v>
      </c>
      <c r="R170" s="5" t="s">
        <v>843</v>
      </c>
      <c r="S170" s="7" t="s">
        <v>1803</v>
      </c>
    </row>
    <row r="171" spans="1:19" ht="44" customHeight="1">
      <c r="A171" s="5" t="s">
        <v>14</v>
      </c>
      <c r="B171" s="5" t="s">
        <v>1802</v>
      </c>
      <c r="C171" s="5" t="s">
        <v>1479</v>
      </c>
      <c r="D171" s="6">
        <v>54860000</v>
      </c>
      <c r="E171" s="8">
        <v>45488.59652777778</v>
      </c>
      <c r="F171" s="16">
        <v>45499.5</v>
      </c>
      <c r="G171" s="5" t="s">
        <v>27</v>
      </c>
      <c r="H171" s="5" t="s">
        <v>113</v>
      </c>
      <c r="I171" s="5" t="s">
        <v>1037</v>
      </c>
      <c r="J171" s="5" t="s">
        <v>1038</v>
      </c>
      <c r="K171" s="5" t="s">
        <v>113</v>
      </c>
      <c r="L171" s="5" t="s">
        <v>113</v>
      </c>
      <c r="M171" s="5" t="s">
        <v>853</v>
      </c>
      <c r="N171" s="5" t="s">
        <v>839</v>
      </c>
      <c r="O171" s="5" t="s">
        <v>840</v>
      </c>
      <c r="P171" s="5" t="s">
        <v>841</v>
      </c>
      <c r="Q171" s="5" t="s">
        <v>441</v>
      </c>
      <c r="R171" s="5" t="s">
        <v>843</v>
      </c>
      <c r="S171" s="7" t="s">
        <v>1804</v>
      </c>
    </row>
    <row r="172" spans="1:19" ht="44" customHeight="1">
      <c r="A172" s="5" t="s">
        <v>14</v>
      </c>
      <c r="B172" s="5" t="s">
        <v>567</v>
      </c>
      <c r="C172" s="5" t="s">
        <v>568</v>
      </c>
      <c r="D172" s="6">
        <v>85000000</v>
      </c>
      <c r="E172" s="8">
        <v>45489.723611111112</v>
      </c>
      <c r="F172" s="16">
        <v>45502.416666666657</v>
      </c>
      <c r="G172" s="5" t="s">
        <v>27</v>
      </c>
      <c r="H172" s="5" t="s">
        <v>70</v>
      </c>
      <c r="I172" s="14" t="s">
        <v>1040</v>
      </c>
      <c r="J172" s="5" t="s">
        <v>1041</v>
      </c>
      <c r="K172" s="5" t="s">
        <v>875</v>
      </c>
      <c r="L172" s="5" t="s">
        <v>113</v>
      </c>
      <c r="M172" s="5" t="s">
        <v>853</v>
      </c>
      <c r="N172" s="5" t="s">
        <v>839</v>
      </c>
      <c r="O172" s="5" t="s">
        <v>840</v>
      </c>
      <c r="P172" s="5" t="s">
        <v>841</v>
      </c>
      <c r="Q172" s="5" t="s">
        <v>441</v>
      </c>
      <c r="R172" s="5" t="s">
        <v>843</v>
      </c>
      <c r="S172" s="7" t="s">
        <v>569</v>
      </c>
    </row>
    <row r="173" spans="1:19" ht="44" customHeight="1">
      <c r="A173" s="5" t="s">
        <v>14</v>
      </c>
      <c r="B173" s="5" t="s">
        <v>1805</v>
      </c>
      <c r="C173" s="5" t="s">
        <v>1806</v>
      </c>
      <c r="D173" s="6">
        <v>77000000</v>
      </c>
      <c r="E173" s="8">
        <v>45498.459027777782</v>
      </c>
      <c r="F173" s="16">
        <v>45509.416666666657</v>
      </c>
      <c r="G173" s="5" t="s">
        <v>27</v>
      </c>
      <c r="H173" s="5" t="s">
        <v>113</v>
      </c>
      <c r="I173" s="5" t="s">
        <v>847</v>
      </c>
      <c r="J173" s="5" t="s">
        <v>848</v>
      </c>
      <c r="K173" s="5" t="s">
        <v>849</v>
      </c>
      <c r="L173" s="5" t="s">
        <v>113</v>
      </c>
      <c r="M173" s="5" t="s">
        <v>853</v>
      </c>
      <c r="N173" s="5" t="s">
        <v>839</v>
      </c>
      <c r="O173" s="5" t="s">
        <v>841</v>
      </c>
      <c r="P173" s="5" t="s">
        <v>841</v>
      </c>
      <c r="Q173" s="5" t="s">
        <v>441</v>
      </c>
      <c r="R173" s="5" t="s">
        <v>843</v>
      </c>
      <c r="S173" s="7" t="s">
        <v>1807</v>
      </c>
    </row>
    <row r="174" spans="1:19" ht="44" customHeight="1">
      <c r="A174" s="5" t="s">
        <v>14</v>
      </c>
      <c r="B174" s="5" t="s">
        <v>523</v>
      </c>
      <c r="C174" s="5" t="s">
        <v>496</v>
      </c>
      <c r="D174" s="6">
        <v>42000000</v>
      </c>
      <c r="E174" s="8">
        <v>45510.405555555553</v>
      </c>
      <c r="F174" s="16">
        <v>45523.625</v>
      </c>
      <c r="G174" s="5" t="s">
        <v>27</v>
      </c>
      <c r="H174" s="5" t="s">
        <v>68</v>
      </c>
      <c r="I174" s="14" t="s">
        <v>1040</v>
      </c>
      <c r="J174" s="5" t="s">
        <v>1041</v>
      </c>
      <c r="K174" s="5" t="s">
        <v>113</v>
      </c>
      <c r="L174" s="5" t="s">
        <v>113</v>
      </c>
      <c r="M174" s="5" t="s">
        <v>99</v>
      </c>
      <c r="N174" s="5" t="s">
        <v>839</v>
      </c>
      <c r="O174" s="5" t="s">
        <v>840</v>
      </c>
      <c r="P174" s="5" t="s">
        <v>841</v>
      </c>
      <c r="Q174" s="5" t="s">
        <v>441</v>
      </c>
      <c r="R174" s="5" t="s">
        <v>1808</v>
      </c>
      <c r="S174" s="7" t="s">
        <v>524</v>
      </c>
    </row>
    <row r="175" spans="1:19" ht="44" customHeight="1">
      <c r="A175" s="5" t="s">
        <v>14</v>
      </c>
      <c r="B175" s="5" t="s">
        <v>1809</v>
      </c>
      <c r="C175" s="5" t="s">
        <v>808</v>
      </c>
      <c r="D175" s="6">
        <v>54800000</v>
      </c>
      <c r="E175" s="8">
        <v>45517.565972222219</v>
      </c>
      <c r="F175" s="16">
        <v>45530.583333333343</v>
      </c>
      <c r="G175" s="5" t="s">
        <v>27</v>
      </c>
      <c r="H175" s="5" t="s">
        <v>113</v>
      </c>
      <c r="I175" s="14" t="s">
        <v>1040</v>
      </c>
      <c r="J175" s="5" t="s">
        <v>1041</v>
      </c>
      <c r="K175" s="5" t="s">
        <v>875</v>
      </c>
      <c r="L175" s="5" t="s">
        <v>113</v>
      </c>
      <c r="M175" s="5" t="s">
        <v>99</v>
      </c>
      <c r="N175" s="5" t="s">
        <v>839</v>
      </c>
      <c r="O175" s="5" t="s">
        <v>840</v>
      </c>
      <c r="P175" s="5" t="s">
        <v>841</v>
      </c>
      <c r="Q175" s="5" t="s">
        <v>441</v>
      </c>
      <c r="R175" s="5" t="s">
        <v>843</v>
      </c>
      <c r="S175" s="7" t="s">
        <v>1810</v>
      </c>
    </row>
    <row r="176" spans="1:19" ht="44" customHeight="1">
      <c r="A176" s="5" t="s">
        <v>14</v>
      </c>
      <c r="B176" s="5" t="s">
        <v>684</v>
      </c>
      <c r="C176" s="5" t="s">
        <v>685</v>
      </c>
      <c r="D176" s="6">
        <v>75000000</v>
      </c>
      <c r="E176" s="8">
        <v>45517.642361111109</v>
      </c>
      <c r="F176" s="16">
        <v>45530.583333333343</v>
      </c>
      <c r="G176" s="5" t="s">
        <v>27</v>
      </c>
      <c r="H176" s="5" t="s">
        <v>680</v>
      </c>
      <c r="I176" s="5" t="s">
        <v>847</v>
      </c>
      <c r="J176" s="5" t="s">
        <v>848</v>
      </c>
      <c r="K176" s="5" t="s">
        <v>849</v>
      </c>
      <c r="L176" s="5" t="s">
        <v>113</v>
      </c>
      <c r="M176" s="5" t="s">
        <v>853</v>
      </c>
      <c r="N176" s="5" t="s">
        <v>839</v>
      </c>
      <c r="O176" s="5" t="s">
        <v>840</v>
      </c>
      <c r="P176" s="5" t="s">
        <v>841</v>
      </c>
      <c r="Q176" s="5" t="s">
        <v>441</v>
      </c>
      <c r="R176" s="5" t="s">
        <v>843</v>
      </c>
      <c r="S176" s="7" t="s">
        <v>686</v>
      </c>
    </row>
    <row r="177" spans="1:19" ht="44" customHeight="1">
      <c r="A177" s="5" t="s">
        <v>14</v>
      </c>
      <c r="B177" s="5" t="s">
        <v>1811</v>
      </c>
      <c r="C177" s="5" t="s">
        <v>892</v>
      </c>
      <c r="D177" s="6">
        <v>94495000</v>
      </c>
      <c r="E177" s="8">
        <v>45541.444444444453</v>
      </c>
      <c r="F177" s="16">
        <v>45558.666666666657</v>
      </c>
      <c r="G177" s="5" t="s">
        <v>27</v>
      </c>
      <c r="H177" s="5" t="s">
        <v>113</v>
      </c>
      <c r="I177" s="5" t="s">
        <v>1037</v>
      </c>
      <c r="J177" s="5" t="s">
        <v>1038</v>
      </c>
      <c r="K177" s="5" t="s">
        <v>113</v>
      </c>
      <c r="L177" s="5" t="s">
        <v>113</v>
      </c>
      <c r="M177" s="5" t="s">
        <v>853</v>
      </c>
      <c r="N177" s="5" t="s">
        <v>893</v>
      </c>
      <c r="O177" s="5" t="s">
        <v>840</v>
      </c>
      <c r="P177" s="5" t="s">
        <v>841</v>
      </c>
      <c r="Q177" s="5" t="s">
        <v>441</v>
      </c>
      <c r="R177" s="5" t="s">
        <v>843</v>
      </c>
      <c r="S177" s="7" t="s">
        <v>1812</v>
      </c>
    </row>
    <row r="178" spans="1:19" ht="44" customHeight="1">
      <c r="A178" s="5" t="s">
        <v>14</v>
      </c>
      <c r="B178" s="5" t="s">
        <v>1813</v>
      </c>
      <c r="C178" s="5" t="s">
        <v>1814</v>
      </c>
      <c r="D178" s="6">
        <v>85000000</v>
      </c>
      <c r="E178" s="8">
        <v>45567.427083333343</v>
      </c>
      <c r="F178" s="16">
        <v>45583.416666666657</v>
      </c>
      <c r="G178" s="5" t="s">
        <v>27</v>
      </c>
      <c r="H178" s="5" t="s">
        <v>1815</v>
      </c>
      <c r="I178" s="5" t="s">
        <v>1037</v>
      </c>
      <c r="J178" s="5" t="s">
        <v>1038</v>
      </c>
      <c r="K178" s="5" t="s">
        <v>113</v>
      </c>
      <c r="L178" s="5" t="s">
        <v>113</v>
      </c>
      <c r="M178" s="5" t="s">
        <v>853</v>
      </c>
      <c r="N178" s="5" t="s">
        <v>839</v>
      </c>
      <c r="O178" s="5" t="s">
        <v>840</v>
      </c>
      <c r="P178" s="5" t="s">
        <v>841</v>
      </c>
      <c r="Q178" s="5" t="s">
        <v>441</v>
      </c>
      <c r="R178" s="5" t="s">
        <v>843</v>
      </c>
      <c r="S178" s="7" t="s">
        <v>1816</v>
      </c>
    </row>
    <row r="179" spans="1:19" ht="44" customHeight="1">
      <c r="A179" s="5" t="s">
        <v>14</v>
      </c>
      <c r="B179" s="5" t="s">
        <v>1817</v>
      </c>
      <c r="C179" s="5" t="s">
        <v>1315</v>
      </c>
      <c r="D179" s="6">
        <v>94000000</v>
      </c>
      <c r="E179" s="8">
        <v>45573.643750000003</v>
      </c>
      <c r="F179" s="16">
        <v>45587.416666666657</v>
      </c>
      <c r="G179" s="5" t="s">
        <v>27</v>
      </c>
      <c r="H179" s="5" t="s">
        <v>1818</v>
      </c>
      <c r="I179" s="5" t="s">
        <v>847</v>
      </c>
      <c r="J179" s="5" t="s">
        <v>848</v>
      </c>
      <c r="K179" s="5" t="s">
        <v>942</v>
      </c>
      <c r="L179" s="5" t="s">
        <v>872</v>
      </c>
      <c r="M179" s="5" t="s">
        <v>853</v>
      </c>
      <c r="N179" s="5" t="s">
        <v>839</v>
      </c>
      <c r="O179" s="5" t="s">
        <v>840</v>
      </c>
      <c r="P179" s="5" t="s">
        <v>841</v>
      </c>
      <c r="Q179" s="5" t="s">
        <v>441</v>
      </c>
      <c r="R179" s="5" t="s">
        <v>843</v>
      </c>
      <c r="S179" s="7" t="s">
        <v>1819</v>
      </c>
    </row>
    <row r="180" spans="1:19" ht="44" customHeight="1">
      <c r="A180" s="5" t="s">
        <v>14</v>
      </c>
      <c r="B180" s="5" t="s">
        <v>1820</v>
      </c>
      <c r="C180" s="5" t="s">
        <v>1695</v>
      </c>
      <c r="D180" s="6">
        <v>24483000</v>
      </c>
      <c r="E180" s="8">
        <v>45586.757638888892</v>
      </c>
      <c r="F180" s="16">
        <v>45597.583333333343</v>
      </c>
      <c r="G180" s="5" t="s">
        <v>27</v>
      </c>
      <c r="H180" s="5" t="s">
        <v>113</v>
      </c>
      <c r="I180" s="5" t="s">
        <v>1037</v>
      </c>
      <c r="J180" s="5" t="s">
        <v>1038</v>
      </c>
      <c r="K180" s="5" t="s">
        <v>113</v>
      </c>
      <c r="L180" s="5" t="s">
        <v>113</v>
      </c>
      <c r="M180" s="5" t="s">
        <v>113</v>
      </c>
      <c r="N180" s="5" t="s">
        <v>839</v>
      </c>
      <c r="O180" s="5" t="s">
        <v>113</v>
      </c>
      <c r="P180" s="5" t="s">
        <v>841</v>
      </c>
      <c r="Q180" s="5" t="s">
        <v>372</v>
      </c>
      <c r="R180" s="5" t="s">
        <v>874</v>
      </c>
      <c r="S180" s="7" t="s">
        <v>1821</v>
      </c>
    </row>
    <row r="181" spans="1:19" ht="44" customHeight="1">
      <c r="A181" s="5" t="s">
        <v>14</v>
      </c>
      <c r="B181" s="5" t="s">
        <v>1822</v>
      </c>
      <c r="C181" s="5" t="s">
        <v>622</v>
      </c>
      <c r="D181" s="6">
        <v>154000000</v>
      </c>
      <c r="E181" s="8">
        <v>45600.47152777778</v>
      </c>
      <c r="F181" s="16">
        <v>45610.583333333343</v>
      </c>
      <c r="G181" s="5" t="s">
        <v>27</v>
      </c>
      <c r="H181" s="5" t="s">
        <v>113</v>
      </c>
      <c r="I181" s="5" t="s">
        <v>1037</v>
      </c>
      <c r="J181" s="5" t="s">
        <v>1038</v>
      </c>
      <c r="K181" s="5" t="s">
        <v>113</v>
      </c>
      <c r="L181" s="5" t="s">
        <v>113</v>
      </c>
      <c r="M181" s="5" t="s">
        <v>853</v>
      </c>
      <c r="N181" s="5" t="s">
        <v>839</v>
      </c>
      <c r="O181" s="5" t="s">
        <v>841</v>
      </c>
      <c r="P181" s="5" t="s">
        <v>841</v>
      </c>
      <c r="Q181" s="5" t="s">
        <v>441</v>
      </c>
      <c r="R181" s="5" t="s">
        <v>1823</v>
      </c>
      <c r="S181" s="7" t="s">
        <v>1824</v>
      </c>
    </row>
    <row r="182" spans="1:19" ht="44" customHeight="1">
      <c r="A182" s="5" t="s">
        <v>14</v>
      </c>
      <c r="B182" s="5" t="s">
        <v>1825</v>
      </c>
      <c r="C182" s="5" t="s">
        <v>1103</v>
      </c>
      <c r="D182" s="6">
        <v>37500000</v>
      </c>
      <c r="E182" s="8">
        <v>45614.942361111112</v>
      </c>
      <c r="F182" s="16">
        <v>45625.625</v>
      </c>
      <c r="G182" s="5" t="s">
        <v>27</v>
      </c>
      <c r="H182" s="5" t="s">
        <v>113</v>
      </c>
      <c r="I182" s="5" t="s">
        <v>1037</v>
      </c>
      <c r="J182" s="5" t="s">
        <v>1038</v>
      </c>
      <c r="K182" s="5" t="s">
        <v>113</v>
      </c>
      <c r="L182" s="5" t="s">
        <v>113</v>
      </c>
      <c r="M182" s="5" t="s">
        <v>853</v>
      </c>
      <c r="N182" s="5" t="s">
        <v>839</v>
      </c>
      <c r="O182" s="5" t="s">
        <v>841</v>
      </c>
      <c r="P182" s="5" t="s">
        <v>841</v>
      </c>
      <c r="Q182" s="5" t="s">
        <v>441</v>
      </c>
      <c r="R182" s="5" t="s">
        <v>843</v>
      </c>
      <c r="S182" s="7" t="s">
        <v>1826</v>
      </c>
    </row>
  </sheetData>
  <mergeCells count="5">
    <mergeCell ref="A65:S65"/>
    <mergeCell ref="A112:S112"/>
    <mergeCell ref="A1:S1"/>
    <mergeCell ref="A3:S3"/>
    <mergeCell ref="A2:S2"/>
  </mergeCells>
  <phoneticPr fontId="10" type="noConversion"/>
  <hyperlinks>
    <hyperlink ref="S5" r:id="rId1" xr:uid="{00000000-0004-0000-0500-000000000000}"/>
    <hyperlink ref="S6" r:id="rId2" xr:uid="{00000000-0004-0000-0500-000001000000}"/>
    <hyperlink ref="S7" r:id="rId3" xr:uid="{00000000-0004-0000-0500-000002000000}"/>
    <hyperlink ref="S8" r:id="rId4" xr:uid="{00000000-0004-0000-0500-000003000000}"/>
    <hyperlink ref="S9" r:id="rId5" xr:uid="{00000000-0004-0000-0500-000004000000}"/>
    <hyperlink ref="S10" r:id="rId6" xr:uid="{00000000-0004-0000-0500-000005000000}"/>
    <hyperlink ref="S11" r:id="rId7" xr:uid="{00000000-0004-0000-0500-000006000000}"/>
    <hyperlink ref="S12" r:id="rId8" xr:uid="{00000000-0004-0000-0500-000007000000}"/>
    <hyperlink ref="S13" r:id="rId9" xr:uid="{00000000-0004-0000-0500-000008000000}"/>
    <hyperlink ref="S14" r:id="rId10" xr:uid="{00000000-0004-0000-0500-000009000000}"/>
    <hyperlink ref="S15" r:id="rId11" xr:uid="{00000000-0004-0000-0500-00000A000000}"/>
    <hyperlink ref="S16" r:id="rId12" xr:uid="{00000000-0004-0000-0500-00000B000000}"/>
    <hyperlink ref="S17" r:id="rId13" xr:uid="{00000000-0004-0000-0500-00000C000000}"/>
    <hyperlink ref="S18" r:id="rId14" xr:uid="{00000000-0004-0000-0500-00000D000000}"/>
    <hyperlink ref="S19" r:id="rId15" xr:uid="{00000000-0004-0000-0500-00000E000000}"/>
    <hyperlink ref="S20" r:id="rId16" xr:uid="{00000000-0004-0000-0500-00000F000000}"/>
    <hyperlink ref="S21" r:id="rId17" xr:uid="{00000000-0004-0000-0500-000010000000}"/>
    <hyperlink ref="S22" r:id="rId18" xr:uid="{00000000-0004-0000-0500-000011000000}"/>
    <hyperlink ref="S23" r:id="rId19" xr:uid="{00000000-0004-0000-0500-000012000000}"/>
    <hyperlink ref="S24" r:id="rId20" xr:uid="{00000000-0004-0000-0500-000013000000}"/>
    <hyperlink ref="S25" r:id="rId21" xr:uid="{00000000-0004-0000-0500-000014000000}"/>
    <hyperlink ref="S26" r:id="rId22" xr:uid="{00000000-0004-0000-0500-000015000000}"/>
    <hyperlink ref="S27" r:id="rId23" xr:uid="{00000000-0004-0000-0500-000016000000}"/>
    <hyperlink ref="S28" r:id="rId24" xr:uid="{00000000-0004-0000-0500-000017000000}"/>
    <hyperlink ref="S29" r:id="rId25" xr:uid="{00000000-0004-0000-0500-000018000000}"/>
    <hyperlink ref="S30" r:id="rId26" xr:uid="{00000000-0004-0000-0500-000019000000}"/>
    <hyperlink ref="S31" r:id="rId27" xr:uid="{00000000-0004-0000-0500-00001A000000}"/>
    <hyperlink ref="S32" r:id="rId28" xr:uid="{00000000-0004-0000-0500-00001B000000}"/>
    <hyperlink ref="S33" r:id="rId29" xr:uid="{00000000-0004-0000-0500-00001C000000}"/>
    <hyperlink ref="S34" r:id="rId30" xr:uid="{00000000-0004-0000-0500-00001D000000}"/>
    <hyperlink ref="S35" r:id="rId31" xr:uid="{00000000-0004-0000-0500-00001E000000}"/>
    <hyperlink ref="S36" r:id="rId32" xr:uid="{00000000-0004-0000-0500-00001F000000}"/>
    <hyperlink ref="S37" r:id="rId33" xr:uid="{00000000-0004-0000-0500-000020000000}"/>
    <hyperlink ref="S38" r:id="rId34" xr:uid="{00000000-0004-0000-0500-000021000000}"/>
    <hyperlink ref="S39" r:id="rId35" xr:uid="{00000000-0004-0000-0500-000022000000}"/>
    <hyperlink ref="S40" r:id="rId36" xr:uid="{00000000-0004-0000-0500-000023000000}"/>
    <hyperlink ref="S41" r:id="rId37" xr:uid="{00000000-0004-0000-0500-000024000000}"/>
    <hyperlink ref="S42" r:id="rId38" xr:uid="{00000000-0004-0000-0500-000025000000}"/>
    <hyperlink ref="S43" r:id="rId39" xr:uid="{00000000-0004-0000-0500-000026000000}"/>
    <hyperlink ref="S44" r:id="rId40" xr:uid="{00000000-0004-0000-0500-000027000000}"/>
    <hyperlink ref="S45" r:id="rId41" xr:uid="{00000000-0004-0000-0500-000028000000}"/>
    <hyperlink ref="S46" r:id="rId42" xr:uid="{00000000-0004-0000-0500-000029000000}"/>
    <hyperlink ref="S47" r:id="rId43" xr:uid="{00000000-0004-0000-0500-00002A000000}"/>
    <hyperlink ref="S48" r:id="rId44" xr:uid="{00000000-0004-0000-0500-00002B000000}"/>
    <hyperlink ref="S49" r:id="rId45" xr:uid="{00000000-0004-0000-0500-00002C000000}"/>
    <hyperlink ref="S50" r:id="rId46" xr:uid="{00000000-0004-0000-0500-00002D000000}"/>
    <hyperlink ref="S51" r:id="rId47" xr:uid="{00000000-0004-0000-0500-00002E000000}"/>
    <hyperlink ref="S52" r:id="rId48" xr:uid="{00000000-0004-0000-0500-00002F000000}"/>
    <hyperlink ref="S53" r:id="rId49" xr:uid="{00000000-0004-0000-0500-000030000000}"/>
    <hyperlink ref="S54" r:id="rId50" xr:uid="{00000000-0004-0000-0500-000031000000}"/>
    <hyperlink ref="S55" r:id="rId51" xr:uid="{00000000-0004-0000-0500-000032000000}"/>
    <hyperlink ref="S56" r:id="rId52" xr:uid="{00000000-0004-0000-0500-000033000000}"/>
    <hyperlink ref="S57" r:id="rId53" xr:uid="{00000000-0004-0000-0500-000034000000}"/>
    <hyperlink ref="S58" r:id="rId54" xr:uid="{00000000-0004-0000-0500-000035000000}"/>
    <hyperlink ref="S59" r:id="rId55" xr:uid="{00000000-0004-0000-0500-000036000000}"/>
    <hyperlink ref="S60" r:id="rId56" xr:uid="{00000000-0004-0000-0500-000037000000}"/>
    <hyperlink ref="S61" r:id="rId57" xr:uid="{00000000-0004-0000-0500-000038000000}"/>
    <hyperlink ref="S62" r:id="rId58" xr:uid="{00000000-0004-0000-0500-000039000000}"/>
    <hyperlink ref="S63" r:id="rId59" xr:uid="{00000000-0004-0000-0500-00003A000000}"/>
    <hyperlink ref="S67" r:id="rId60" xr:uid="{00000000-0004-0000-0500-00003B000000}"/>
    <hyperlink ref="S68" r:id="rId61" xr:uid="{00000000-0004-0000-0500-00003C000000}"/>
    <hyperlink ref="S69" r:id="rId62" xr:uid="{00000000-0004-0000-0500-00003D000000}"/>
    <hyperlink ref="S70" r:id="rId63" xr:uid="{00000000-0004-0000-0500-00003E000000}"/>
    <hyperlink ref="S71" r:id="rId64" xr:uid="{00000000-0004-0000-0500-00003F000000}"/>
    <hyperlink ref="S72" r:id="rId65" xr:uid="{00000000-0004-0000-0500-000040000000}"/>
    <hyperlink ref="S73" r:id="rId66" xr:uid="{00000000-0004-0000-0500-000041000000}"/>
    <hyperlink ref="S74" r:id="rId67" xr:uid="{00000000-0004-0000-0500-000042000000}"/>
    <hyperlink ref="S75" r:id="rId68" xr:uid="{00000000-0004-0000-0500-000043000000}"/>
    <hyperlink ref="S76" r:id="rId69" xr:uid="{00000000-0004-0000-0500-000044000000}"/>
    <hyperlink ref="S77" r:id="rId70" xr:uid="{00000000-0004-0000-0500-000045000000}"/>
    <hyperlink ref="S78" r:id="rId71" xr:uid="{00000000-0004-0000-0500-000046000000}"/>
    <hyperlink ref="S79" r:id="rId72" xr:uid="{00000000-0004-0000-0500-000047000000}"/>
    <hyperlink ref="S80" r:id="rId73" xr:uid="{00000000-0004-0000-0500-000048000000}"/>
    <hyperlink ref="S81" r:id="rId74" xr:uid="{00000000-0004-0000-0500-000049000000}"/>
    <hyperlink ref="S82" r:id="rId75" xr:uid="{00000000-0004-0000-0500-00004A000000}"/>
    <hyperlink ref="S83" r:id="rId76" xr:uid="{00000000-0004-0000-0500-00004B000000}"/>
    <hyperlink ref="S84" r:id="rId77" xr:uid="{00000000-0004-0000-0500-00004C000000}"/>
    <hyperlink ref="S85" r:id="rId78" xr:uid="{00000000-0004-0000-0500-00004D000000}"/>
    <hyperlink ref="S86" r:id="rId79" xr:uid="{00000000-0004-0000-0500-00004E000000}"/>
    <hyperlink ref="S87" r:id="rId80" xr:uid="{00000000-0004-0000-0500-00004F000000}"/>
    <hyperlink ref="S88" r:id="rId81" xr:uid="{00000000-0004-0000-0500-000050000000}"/>
    <hyperlink ref="S89" r:id="rId82" xr:uid="{00000000-0004-0000-0500-000051000000}"/>
    <hyperlink ref="S90" r:id="rId83" xr:uid="{00000000-0004-0000-0500-000052000000}"/>
    <hyperlink ref="S91" r:id="rId84" xr:uid="{00000000-0004-0000-0500-000053000000}"/>
    <hyperlink ref="S92" r:id="rId85" xr:uid="{00000000-0004-0000-0500-000054000000}"/>
    <hyperlink ref="S93" r:id="rId86" xr:uid="{00000000-0004-0000-0500-000055000000}"/>
    <hyperlink ref="S94" r:id="rId87" xr:uid="{00000000-0004-0000-0500-000056000000}"/>
    <hyperlink ref="S95" r:id="rId88" xr:uid="{00000000-0004-0000-0500-000057000000}"/>
    <hyperlink ref="S96" r:id="rId89" xr:uid="{00000000-0004-0000-0500-000058000000}"/>
    <hyperlink ref="S97" r:id="rId90" xr:uid="{00000000-0004-0000-0500-000059000000}"/>
    <hyperlink ref="S98" r:id="rId91" xr:uid="{00000000-0004-0000-0500-00005A000000}"/>
    <hyperlink ref="S99" r:id="rId92" xr:uid="{00000000-0004-0000-0500-00005B000000}"/>
    <hyperlink ref="S100" r:id="rId93" xr:uid="{00000000-0004-0000-0500-00005C000000}"/>
    <hyperlink ref="S101" r:id="rId94" xr:uid="{00000000-0004-0000-0500-00005D000000}"/>
    <hyperlink ref="S102" r:id="rId95" xr:uid="{00000000-0004-0000-0500-00005E000000}"/>
    <hyperlink ref="S103" r:id="rId96" xr:uid="{00000000-0004-0000-0500-00005F000000}"/>
    <hyperlink ref="S104" r:id="rId97" xr:uid="{00000000-0004-0000-0500-000060000000}"/>
    <hyperlink ref="S105" r:id="rId98" xr:uid="{00000000-0004-0000-0500-000061000000}"/>
    <hyperlink ref="S106" r:id="rId99" xr:uid="{00000000-0004-0000-0500-000062000000}"/>
    <hyperlink ref="S107" r:id="rId100" xr:uid="{00000000-0004-0000-0500-000063000000}"/>
    <hyperlink ref="S108" r:id="rId101" xr:uid="{00000000-0004-0000-0500-000064000000}"/>
    <hyperlink ref="S109" r:id="rId102" xr:uid="{00000000-0004-0000-0500-000065000000}"/>
    <hyperlink ref="S110" r:id="rId103" xr:uid="{00000000-0004-0000-0500-000066000000}"/>
    <hyperlink ref="S114" r:id="rId104" xr:uid="{00000000-0004-0000-0500-000067000000}"/>
    <hyperlink ref="S115" r:id="rId105" xr:uid="{00000000-0004-0000-0500-000068000000}"/>
    <hyperlink ref="S116" r:id="rId106" xr:uid="{00000000-0004-0000-0500-000069000000}"/>
    <hyperlink ref="S117" r:id="rId107" xr:uid="{00000000-0004-0000-0500-00006A000000}"/>
    <hyperlink ref="S118" r:id="rId108" xr:uid="{00000000-0004-0000-0500-00006B000000}"/>
    <hyperlink ref="S119" r:id="rId109" xr:uid="{00000000-0004-0000-0500-00006C000000}"/>
    <hyperlink ref="S120" r:id="rId110" xr:uid="{00000000-0004-0000-0500-00006D000000}"/>
    <hyperlink ref="S121" r:id="rId111" xr:uid="{00000000-0004-0000-0500-00006E000000}"/>
    <hyperlink ref="S122" r:id="rId112" xr:uid="{00000000-0004-0000-0500-00006F000000}"/>
    <hyperlink ref="S123" r:id="rId113" xr:uid="{00000000-0004-0000-0500-000070000000}"/>
    <hyperlink ref="S124" r:id="rId114" xr:uid="{00000000-0004-0000-0500-000071000000}"/>
    <hyperlink ref="S125" r:id="rId115" xr:uid="{00000000-0004-0000-0500-000072000000}"/>
    <hyperlink ref="S126" r:id="rId116" xr:uid="{00000000-0004-0000-0500-000073000000}"/>
    <hyperlink ref="S127" r:id="rId117" xr:uid="{00000000-0004-0000-0500-000074000000}"/>
    <hyperlink ref="S128" r:id="rId118" xr:uid="{00000000-0004-0000-0500-000075000000}"/>
    <hyperlink ref="S129" r:id="rId119" xr:uid="{00000000-0004-0000-0500-000076000000}"/>
    <hyperlink ref="S130" r:id="rId120" xr:uid="{00000000-0004-0000-0500-000077000000}"/>
    <hyperlink ref="S131" r:id="rId121" xr:uid="{00000000-0004-0000-0500-000078000000}"/>
    <hyperlink ref="S132" r:id="rId122" xr:uid="{00000000-0004-0000-0500-000079000000}"/>
    <hyperlink ref="S133" r:id="rId123" xr:uid="{00000000-0004-0000-0500-00007A000000}"/>
    <hyperlink ref="S134" r:id="rId124" xr:uid="{00000000-0004-0000-0500-00007B000000}"/>
    <hyperlink ref="S135" r:id="rId125" xr:uid="{00000000-0004-0000-0500-00007C000000}"/>
    <hyperlink ref="S136" r:id="rId126" xr:uid="{00000000-0004-0000-0500-00007D000000}"/>
    <hyperlink ref="S137" r:id="rId127" xr:uid="{00000000-0004-0000-0500-00007E000000}"/>
    <hyperlink ref="S138" r:id="rId128" xr:uid="{00000000-0004-0000-0500-00007F000000}"/>
    <hyperlink ref="S139" r:id="rId129" xr:uid="{00000000-0004-0000-0500-000080000000}"/>
    <hyperlink ref="S140" r:id="rId130" xr:uid="{00000000-0004-0000-0500-000081000000}"/>
    <hyperlink ref="S141" r:id="rId131" xr:uid="{00000000-0004-0000-0500-000082000000}"/>
    <hyperlink ref="S142" r:id="rId132" xr:uid="{00000000-0004-0000-0500-000083000000}"/>
    <hyperlink ref="S143" r:id="rId133" xr:uid="{00000000-0004-0000-0500-000084000000}"/>
    <hyperlink ref="S144" r:id="rId134" xr:uid="{00000000-0004-0000-0500-000085000000}"/>
    <hyperlink ref="S145" r:id="rId135" xr:uid="{00000000-0004-0000-0500-000086000000}"/>
    <hyperlink ref="S146" r:id="rId136" xr:uid="{00000000-0004-0000-0500-000087000000}"/>
    <hyperlink ref="S147" r:id="rId137" xr:uid="{00000000-0004-0000-0500-000088000000}"/>
    <hyperlink ref="S148" r:id="rId138" xr:uid="{00000000-0004-0000-0500-000089000000}"/>
    <hyperlink ref="S149" r:id="rId139" xr:uid="{00000000-0004-0000-0500-00008A000000}"/>
    <hyperlink ref="S150" r:id="rId140" xr:uid="{00000000-0004-0000-0500-00008B000000}"/>
    <hyperlink ref="S151" r:id="rId141" xr:uid="{00000000-0004-0000-0500-00008C000000}"/>
    <hyperlink ref="S152" r:id="rId142" xr:uid="{00000000-0004-0000-0500-00008D000000}"/>
    <hyperlink ref="S153" r:id="rId143" xr:uid="{00000000-0004-0000-0500-00008E000000}"/>
    <hyperlink ref="S154" r:id="rId144" xr:uid="{00000000-0004-0000-0500-00008F000000}"/>
    <hyperlink ref="S155" r:id="rId145" xr:uid="{00000000-0004-0000-0500-000090000000}"/>
    <hyperlink ref="S156" r:id="rId146" xr:uid="{00000000-0004-0000-0500-000091000000}"/>
    <hyperlink ref="S157" r:id="rId147" xr:uid="{00000000-0004-0000-0500-000092000000}"/>
    <hyperlink ref="S158" r:id="rId148" xr:uid="{00000000-0004-0000-0500-000093000000}"/>
    <hyperlink ref="S159" r:id="rId149" xr:uid="{00000000-0004-0000-0500-000094000000}"/>
    <hyperlink ref="S160" r:id="rId150" xr:uid="{00000000-0004-0000-0500-000095000000}"/>
    <hyperlink ref="S161" r:id="rId151" xr:uid="{00000000-0004-0000-0500-000096000000}"/>
    <hyperlink ref="S162" r:id="rId152" xr:uid="{00000000-0004-0000-0500-000097000000}"/>
    <hyperlink ref="S163" r:id="rId153" xr:uid="{00000000-0004-0000-0500-000098000000}"/>
    <hyperlink ref="S164" r:id="rId154" xr:uid="{00000000-0004-0000-0500-000099000000}"/>
    <hyperlink ref="S165" r:id="rId155" xr:uid="{00000000-0004-0000-0500-00009A000000}"/>
    <hyperlink ref="S166" r:id="rId156" xr:uid="{00000000-0004-0000-0500-00009B000000}"/>
    <hyperlink ref="S167" r:id="rId157" xr:uid="{00000000-0004-0000-0500-00009C000000}"/>
    <hyperlink ref="S168" r:id="rId158" xr:uid="{00000000-0004-0000-0500-00009D000000}"/>
    <hyperlink ref="S169" r:id="rId159" xr:uid="{00000000-0004-0000-0500-00009E000000}"/>
    <hyperlink ref="S170" r:id="rId160" xr:uid="{00000000-0004-0000-0500-00009F000000}"/>
    <hyperlink ref="S171" r:id="rId161" xr:uid="{00000000-0004-0000-0500-0000A0000000}"/>
    <hyperlink ref="S172" r:id="rId162" xr:uid="{00000000-0004-0000-0500-0000A1000000}"/>
    <hyperlink ref="S173" r:id="rId163" xr:uid="{00000000-0004-0000-0500-0000A2000000}"/>
    <hyperlink ref="S174" r:id="rId164" xr:uid="{00000000-0004-0000-0500-0000A3000000}"/>
    <hyperlink ref="S175" r:id="rId165" xr:uid="{00000000-0004-0000-0500-0000A4000000}"/>
    <hyperlink ref="S176" r:id="rId166" xr:uid="{00000000-0004-0000-0500-0000A5000000}"/>
    <hyperlink ref="S177" r:id="rId167" xr:uid="{00000000-0004-0000-0500-0000A6000000}"/>
    <hyperlink ref="S178" r:id="rId168" xr:uid="{00000000-0004-0000-0500-0000A7000000}"/>
    <hyperlink ref="S179" r:id="rId169" xr:uid="{00000000-0004-0000-0500-0000A8000000}"/>
    <hyperlink ref="S180" r:id="rId170" xr:uid="{00000000-0004-0000-0500-0000A9000000}"/>
    <hyperlink ref="S181" r:id="rId171" xr:uid="{00000000-0004-0000-0500-0000AA000000}"/>
    <hyperlink ref="S182" r:id="rId172" xr:uid="{00000000-0004-0000-0500-0000AB000000}"/>
  </hyperlinks>
  <pageMargins left="0.75" right="0.75" top="1" bottom="1" header="0.5" footer="0.5"/>
  <tableParts count="3">
    <tablePart r:id="rId173"/>
    <tablePart r:id="rId174"/>
    <tablePart r:id="rId17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요약</vt:lpstr>
      <vt:lpstr>섹터 별 분석</vt:lpstr>
      <vt:lpstr>시장 플레이어</vt:lpstr>
      <vt:lpstr>2026년(7월 기준)</vt:lpstr>
      <vt:lpstr>2025년</vt:lpstr>
      <vt:lpstr>2024년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Sanha Lee</cp:lastModifiedBy>
  <dcterms:created xsi:type="dcterms:W3CDTF">2026-07-23T01:49:10Z</dcterms:created>
  <dcterms:modified xsi:type="dcterms:W3CDTF">2026-07-23T01:53:54Z</dcterms:modified>
</cp:coreProperties>
</file>